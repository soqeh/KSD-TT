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업무\FMA-CNF\"/>
    </mc:Choice>
  </mc:AlternateContent>
  <bookViews>
    <workbookView xWindow="0" yWindow="0" windowWidth="28800" windowHeight="12840"/>
  </bookViews>
  <sheets>
    <sheet name="Sheet1" sheetId="2" r:id="rId1"/>
  </sheets>
  <calcPr calcId="162913"/>
</workbook>
</file>

<file path=xl/calcChain.xml><?xml version="1.0" encoding="utf-8"?>
<calcChain xmlns="http://schemas.openxmlformats.org/spreadsheetml/2006/main">
  <c r="G21" i="2" l="1"/>
  <c r="H21" i="2" s="1"/>
  <c r="F21" i="2"/>
  <c r="G2" i="2"/>
  <c r="H2" i="2" s="1"/>
  <c r="G5" i="2"/>
  <c r="H5" i="2" s="1"/>
  <c r="G8" i="2"/>
  <c r="H8" i="2" s="1"/>
  <c r="G3" i="2"/>
  <c r="H3" i="2" s="1"/>
  <c r="G4" i="2"/>
  <c r="H4" i="2" s="1"/>
  <c r="G7" i="2"/>
  <c r="H7" i="2" s="1"/>
  <c r="G6" i="2"/>
  <c r="H6" i="2" s="1"/>
  <c r="G10" i="2"/>
  <c r="H10" i="2" s="1"/>
  <c r="G9" i="2"/>
  <c r="H9" i="2" s="1"/>
  <c r="G15" i="2"/>
  <c r="H15" i="2" s="1"/>
  <c r="G11" i="2"/>
  <c r="H11" i="2" s="1"/>
  <c r="G13" i="2"/>
  <c r="H13" i="2" s="1"/>
  <c r="G17" i="2"/>
  <c r="H17" i="2" s="1"/>
  <c r="G16" i="2"/>
  <c r="H16" i="2" s="1"/>
  <c r="G18" i="2"/>
  <c r="H18" i="2" s="1"/>
  <c r="G31" i="2"/>
  <c r="H31" i="2" s="1"/>
  <c r="G30" i="2"/>
  <c r="H30" i="2" s="1"/>
  <c r="G98" i="2"/>
  <c r="H98" i="2" s="1"/>
  <c r="G29" i="2"/>
  <c r="H29" i="2" s="1"/>
  <c r="G27" i="2"/>
  <c r="H27" i="2" s="1"/>
  <c r="G28" i="2"/>
  <c r="H28" i="2" s="1"/>
  <c r="G38" i="2"/>
  <c r="H38" i="2" s="1"/>
  <c r="G26" i="2"/>
  <c r="H26" i="2" s="1"/>
  <c r="G25" i="2"/>
  <c r="H25" i="2" s="1"/>
  <c r="G24" i="2"/>
  <c r="H24" i="2" s="1"/>
  <c r="G23" i="2"/>
  <c r="H23" i="2" s="1"/>
  <c r="G46" i="2"/>
  <c r="H46" i="2" s="1"/>
  <c r="G45" i="2"/>
  <c r="H45" i="2" s="1"/>
  <c r="G44" i="2"/>
  <c r="H44" i="2" s="1"/>
  <c r="G43" i="2"/>
  <c r="H43" i="2" s="1"/>
  <c r="G57" i="2"/>
  <c r="H57" i="2" s="1"/>
  <c r="G42" i="2"/>
  <c r="H42" i="2" s="1"/>
  <c r="G41" i="2"/>
  <c r="H41" i="2" s="1"/>
  <c r="G55" i="2"/>
  <c r="H55" i="2" s="1"/>
  <c r="G51" i="2"/>
  <c r="H51" i="2" s="1"/>
  <c r="G50" i="2"/>
  <c r="H50" i="2" s="1"/>
  <c r="G49" i="2"/>
  <c r="H49" i="2" s="1"/>
  <c r="G48" i="2"/>
  <c r="H48" i="2" s="1"/>
  <c r="G47" i="2"/>
  <c r="H47" i="2" s="1"/>
  <c r="G56" i="2"/>
  <c r="H56" i="2" s="1"/>
  <c r="G39" i="2"/>
  <c r="H39" i="2" s="1"/>
  <c r="G34" i="2"/>
  <c r="H34" i="2" s="1"/>
  <c r="G33" i="2"/>
  <c r="H33" i="2" s="1"/>
  <c r="G40" i="2"/>
  <c r="H40" i="2" s="1"/>
  <c r="G36" i="2"/>
  <c r="H36" i="2" s="1"/>
  <c r="G37" i="2"/>
  <c r="H37" i="2" s="1"/>
  <c r="G35" i="2"/>
  <c r="H35" i="2" s="1"/>
  <c r="G32" i="2"/>
  <c r="H32" i="2" s="1"/>
  <c r="G73" i="2"/>
  <c r="H73" i="2" s="1"/>
  <c r="G72" i="2"/>
  <c r="H72" i="2" s="1"/>
  <c r="G71" i="2"/>
  <c r="H71" i="2" s="1"/>
  <c r="G70" i="2"/>
  <c r="H70" i="2" s="1"/>
  <c r="G116" i="2"/>
  <c r="H116" i="2" s="1"/>
  <c r="G53" i="2"/>
  <c r="H53" i="2" s="1"/>
  <c r="G52" i="2"/>
  <c r="H52" i="2" s="1"/>
  <c r="G54" i="2"/>
  <c r="H54" i="2" s="1"/>
  <c r="G94" i="2"/>
  <c r="H94" i="2" s="1"/>
  <c r="G100" i="2"/>
  <c r="H100" i="2" s="1"/>
  <c r="G59" i="2"/>
  <c r="H59" i="2" s="1"/>
  <c r="G69" i="2"/>
  <c r="H69" i="2" s="1"/>
  <c r="G68" i="2"/>
  <c r="H68" i="2" s="1"/>
  <c r="G67" i="2"/>
  <c r="H67" i="2" s="1"/>
  <c r="G66" i="2"/>
  <c r="H66" i="2" s="1"/>
  <c r="G95" i="2"/>
  <c r="H95" i="2" s="1"/>
  <c r="G58" i="2"/>
  <c r="H58" i="2" s="1"/>
  <c r="G80" i="2"/>
  <c r="H80" i="2" s="1"/>
  <c r="G79" i="2"/>
  <c r="H79" i="2" s="1"/>
  <c r="G78" i="2"/>
  <c r="H78" i="2" s="1"/>
  <c r="G85" i="2"/>
  <c r="H85" i="2" s="1"/>
  <c r="G84" i="2"/>
  <c r="H84" i="2" s="1"/>
  <c r="G83" i="2"/>
  <c r="H83" i="2" s="1"/>
  <c r="G82" i="2"/>
  <c r="H82" i="2" s="1"/>
  <c r="G81" i="2"/>
  <c r="H81" i="2" s="1"/>
  <c r="G77" i="2"/>
  <c r="H77" i="2" s="1"/>
  <c r="G76" i="2"/>
  <c r="H76" i="2" s="1"/>
  <c r="G75" i="2"/>
  <c r="H75" i="2" s="1"/>
  <c r="G74" i="2"/>
  <c r="H74" i="2" s="1"/>
  <c r="G103" i="2"/>
  <c r="H103" i="2" s="1"/>
  <c r="G93" i="2"/>
  <c r="H93" i="2" s="1"/>
  <c r="G89" i="2"/>
  <c r="H89" i="2" s="1"/>
  <c r="G101" i="2"/>
  <c r="H101" i="2" s="1"/>
  <c r="G86" i="2"/>
  <c r="H86" i="2" s="1"/>
  <c r="G65" i="2"/>
  <c r="H65" i="2" s="1"/>
  <c r="G64" i="2"/>
  <c r="H64" i="2" s="1"/>
  <c r="G88" i="2"/>
  <c r="H88" i="2" s="1"/>
  <c r="G63" i="2"/>
  <c r="H63" i="2" s="1"/>
  <c r="G62" i="2"/>
  <c r="H62" i="2" s="1"/>
  <c r="G90" i="2"/>
  <c r="H90" i="2" s="1"/>
  <c r="G96" i="2"/>
  <c r="H96" i="2" s="1"/>
  <c r="G97" i="2"/>
  <c r="H97" i="2" s="1"/>
  <c r="G99" i="2"/>
  <c r="H99" i="2" s="1"/>
  <c r="G91" i="2"/>
  <c r="H91" i="2" s="1"/>
  <c r="G87" i="2"/>
  <c r="H87" i="2" s="1"/>
  <c r="G102" i="2"/>
  <c r="H102" i="2" s="1"/>
  <c r="G112" i="2"/>
  <c r="H112" i="2" s="1"/>
  <c r="G113" i="2"/>
  <c r="H113" i="2" s="1"/>
  <c r="G92" i="2"/>
  <c r="H92" i="2" s="1"/>
  <c r="G114" i="2"/>
  <c r="H114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15" i="2"/>
  <c r="H115" i="2" s="1"/>
  <c r="G118" i="2"/>
  <c r="H118" i="2" s="1"/>
  <c r="G111" i="2"/>
  <c r="H111" i="2" s="1"/>
  <c r="G120" i="2"/>
  <c r="H120" i="2" s="1"/>
  <c r="G121" i="2"/>
  <c r="H121" i="2" s="1"/>
  <c r="G119" i="2"/>
  <c r="H119" i="2" s="1"/>
  <c r="G22" i="2"/>
  <c r="H22" i="2" s="1"/>
  <c r="G19" i="2"/>
  <c r="H19" i="2" s="1"/>
  <c r="G20" i="2"/>
  <c r="H20" i="2" s="1"/>
  <c r="G60" i="2"/>
  <c r="H60" i="2" s="1"/>
  <c r="G61" i="2"/>
  <c r="H61" i="2" s="1"/>
  <c r="G12" i="2"/>
  <c r="H12" i="2" s="1"/>
  <c r="G14" i="2"/>
  <c r="H14" i="2" s="1"/>
  <c r="G117" i="2"/>
  <c r="H117" i="2" s="1"/>
  <c r="G122" i="2"/>
  <c r="H122" i="2" s="1"/>
  <c r="F2" i="2"/>
  <c r="F5" i="2"/>
  <c r="F8" i="2"/>
  <c r="F3" i="2"/>
  <c r="F4" i="2"/>
  <c r="F7" i="2"/>
  <c r="F6" i="2"/>
  <c r="F10" i="2"/>
  <c r="F9" i="2"/>
  <c r="F15" i="2"/>
  <c r="F11" i="2"/>
  <c r="F13" i="2"/>
  <c r="F17" i="2"/>
  <c r="F16" i="2"/>
  <c r="F18" i="2"/>
  <c r="F31" i="2"/>
  <c r="F30" i="2"/>
  <c r="F98" i="2"/>
  <c r="F29" i="2"/>
  <c r="F27" i="2"/>
  <c r="F28" i="2"/>
  <c r="F38" i="2"/>
  <c r="F26" i="2"/>
  <c r="F25" i="2"/>
  <c r="F24" i="2"/>
  <c r="F23" i="2"/>
  <c r="F46" i="2"/>
  <c r="F45" i="2"/>
  <c r="F44" i="2"/>
  <c r="F43" i="2"/>
  <c r="F57" i="2"/>
  <c r="F42" i="2"/>
  <c r="F41" i="2"/>
  <c r="F55" i="2"/>
  <c r="F51" i="2"/>
  <c r="F50" i="2"/>
  <c r="F49" i="2"/>
  <c r="F48" i="2"/>
  <c r="F47" i="2"/>
  <c r="F56" i="2"/>
  <c r="F39" i="2"/>
  <c r="F34" i="2"/>
  <c r="F33" i="2"/>
  <c r="F40" i="2"/>
  <c r="F36" i="2"/>
  <c r="F37" i="2"/>
  <c r="F35" i="2"/>
  <c r="F32" i="2"/>
  <c r="F73" i="2"/>
  <c r="F72" i="2"/>
  <c r="F71" i="2"/>
  <c r="F70" i="2"/>
  <c r="F116" i="2"/>
  <c r="F53" i="2"/>
  <c r="F52" i="2"/>
  <c r="F54" i="2"/>
  <c r="F94" i="2"/>
  <c r="F100" i="2"/>
  <c r="F59" i="2"/>
  <c r="F69" i="2"/>
  <c r="F68" i="2"/>
  <c r="F67" i="2"/>
  <c r="F66" i="2"/>
  <c r="F95" i="2"/>
  <c r="F58" i="2"/>
  <c r="F80" i="2"/>
  <c r="F79" i="2"/>
  <c r="F78" i="2"/>
  <c r="F85" i="2"/>
  <c r="F84" i="2"/>
  <c r="F83" i="2"/>
  <c r="F82" i="2"/>
  <c r="F81" i="2"/>
  <c r="F77" i="2"/>
  <c r="F76" i="2"/>
  <c r="F75" i="2"/>
  <c r="F74" i="2"/>
  <c r="F103" i="2"/>
  <c r="F93" i="2"/>
  <c r="F89" i="2"/>
  <c r="F101" i="2"/>
  <c r="F86" i="2"/>
  <c r="F65" i="2"/>
  <c r="F64" i="2"/>
  <c r="F88" i="2"/>
  <c r="F63" i="2"/>
  <c r="F62" i="2"/>
  <c r="F90" i="2"/>
  <c r="F96" i="2"/>
  <c r="F97" i="2"/>
  <c r="F99" i="2"/>
  <c r="F91" i="2"/>
  <c r="F87" i="2"/>
  <c r="F102" i="2"/>
  <c r="F112" i="2"/>
  <c r="F113" i="2"/>
  <c r="F92" i="2"/>
  <c r="F114" i="2"/>
  <c r="F110" i="2"/>
  <c r="F109" i="2"/>
  <c r="F108" i="2"/>
  <c r="F107" i="2"/>
  <c r="F106" i="2"/>
  <c r="F105" i="2"/>
  <c r="F104" i="2"/>
  <c r="F115" i="2"/>
  <c r="F118" i="2"/>
  <c r="F111" i="2"/>
  <c r="F120" i="2"/>
  <c r="F121" i="2"/>
  <c r="F119" i="2"/>
  <c r="F22" i="2"/>
  <c r="F19" i="2"/>
  <c r="F20" i="2"/>
  <c r="F60" i="2"/>
  <c r="F61" i="2"/>
  <c r="F12" i="2"/>
  <c r="F14" i="2"/>
  <c r="F117" i="2"/>
  <c r="F122" i="2"/>
</calcChain>
</file>

<file path=xl/sharedStrings.xml><?xml version="1.0" encoding="utf-8"?>
<sst xmlns="http://schemas.openxmlformats.org/spreadsheetml/2006/main" count="613" uniqueCount="226">
  <si>
    <t>T1</t>
  </si>
  <si>
    <t>T2</t>
  </si>
  <si>
    <t>P</t>
  </si>
  <si>
    <t>W</t>
  </si>
  <si>
    <t>D</t>
  </si>
  <si>
    <t>평면적인 관점에서 볼 때</t>
  </si>
  <si>
    <t>when viewed in a plan view</t>
  </si>
  <si>
    <t>F</t>
  </si>
  <si>
    <t>특허</t>
  </si>
  <si>
    <t>【표 ([0-9])】</t>
  </si>
  <si>
    <t>[Table \1]</t>
  </si>
  <si>
    <t>T</t>
  </si>
  <si>
    <t>,,</t>
  </si>
  <si>
    <t>,</t>
  </si>
  <si>
    <t xml:space="preserve"> ,</t>
  </si>
  <si>
    <t>설명의 편의를 위하여</t>
  </si>
  <si>
    <t>for convenience in description</t>
  </si>
  <si>
    <t>설명의 간결함을 위해</t>
  </si>
  <si>
    <t>일 실시예에 따르면</t>
  </si>
  <si>
    <t>종래 기술의 문제점</t>
  </si>
  <si>
    <t>Problems of Conventional Technology</t>
  </si>
  <si>
    <t>평면적으로 볼 때</t>
  </si>
  <si>
    <t>평면적인 관점에서</t>
  </si>
  <si>
    <t>도 ([0-9])</t>
  </si>
  <si>
    <t>FIG&gt; \1</t>
  </si>
  <si>
    <t>종래 기술의 설명</t>
  </si>
  <si>
    <t>Description of Conventional Technology</t>
  </si>
  <si>
    <t>또 다른 실시 예</t>
  </si>
  <si>
    <t>&lt;#####&gt; other example embodiments</t>
  </si>
  <si>
    <t>평면적 관점으로</t>
  </si>
  <si>
    <t>평면적으로 보아</t>
  </si>
  <si>
    <t>또 다른 실시예</t>
  </si>
  <si>
    <t xml:space="preserve"> (not shown)</t>
  </si>
  <si>
    <t>(예를 들면</t>
  </si>
  <si>
    <t xml:space="preserve"> (e.g.,</t>
  </si>
  <si>
    <t xml:space="preserve">(예: </t>
  </si>
  <si>
    <t xml:space="preserve"> (e.g., </t>
  </si>
  <si>
    <t>(예를 들어</t>
  </si>
  <si>
    <t>기술적 특징</t>
  </si>
  <si>
    <t>technical feature</t>
  </si>
  <si>
    <t>기술적 사상</t>
  </si>
  <si>
    <t>the technical concept</t>
  </si>
  <si>
    <t xml:space="preserve">미국 특허 </t>
  </si>
  <si>
    <t xml:space="preserve">U.S. Patent </t>
  </si>
  <si>
    <t>다시 말하면</t>
  </si>
  <si>
    <t>in other words</t>
  </si>
  <si>
    <t>동일한 물질</t>
  </si>
  <si>
    <t>the same material</t>
  </si>
  <si>
    <t>유사한 방법</t>
  </si>
  <si>
    <t>similar method</t>
  </si>
  <si>
    <t>이에 더하여</t>
  </si>
  <si>
    <t>furthermore</t>
  </si>
  <si>
    <t xml:space="preserve">제 15 </t>
  </si>
  <si>
    <t xml:space="preserve">fifteenth </t>
  </si>
  <si>
    <t xml:space="preserve">제 16 </t>
  </si>
  <si>
    <t xml:space="preserve">sixteenth </t>
  </si>
  <si>
    <t xml:space="preserve">제 17 </t>
  </si>
  <si>
    <t xml:space="preserve">seventeenth </t>
  </si>
  <si>
    <t xml:space="preserve">제 18 </t>
  </si>
  <si>
    <t xml:space="preserve">eighteenth </t>
  </si>
  <si>
    <t xml:space="preserve">(이하, </t>
  </si>
  <si>
    <t xml:space="preserve"> (hereinafter, </t>
  </si>
  <si>
    <t xml:space="preserve">제 19 </t>
  </si>
  <si>
    <t xml:space="preserve">nineteenth </t>
  </si>
  <si>
    <t xml:space="preserve">제 20 </t>
  </si>
  <si>
    <t xml:space="preserve">twentieth </t>
  </si>
  <si>
    <t xml:space="preserve">및/또는 </t>
  </si>
  <si>
    <t xml:space="preserve">and/or </t>
  </si>
  <si>
    <t xml:space="preserve">제 10 </t>
  </si>
  <si>
    <t xml:space="preserve">tenth </t>
  </si>
  <si>
    <t xml:space="preserve">제 11 </t>
  </si>
  <si>
    <t xml:space="preserve">eleventh </t>
  </si>
  <si>
    <t xml:space="preserve">제 12 </t>
  </si>
  <si>
    <t xml:space="preserve">twelfth </t>
  </si>
  <si>
    <t xml:space="preserve">제 13 </t>
  </si>
  <si>
    <t xml:space="preserve">thirteenth </t>
  </si>
  <si>
    <t xml:space="preserve">제 14 </t>
  </si>
  <si>
    <t xml:space="preserve">fourteenth </t>
  </si>
  <si>
    <t xml:space="preserve">개략적인 </t>
  </si>
  <si>
    <t xml:space="preserve">schematic </t>
  </si>
  <si>
    <t>도면 부호</t>
  </si>
  <si>
    <t>reference numeral</t>
  </si>
  <si>
    <t>예를 들면</t>
  </si>
  <si>
    <t>for example</t>
  </si>
  <si>
    <t>예를 들어</t>
  </si>
  <si>
    <t>(미도시)</t>
  </si>
  <si>
    <t>본 실시예</t>
  </si>
  <si>
    <t>the present embodiment</t>
  </si>
  <si>
    <t>복수 개의</t>
  </si>
  <si>
    <t>plurality of</t>
  </si>
  <si>
    <t>본원 발명</t>
  </si>
  <si>
    <t>the inventive concept</t>
  </si>
  <si>
    <t>일 실시예</t>
  </si>
  <si>
    <t xml:space="preserve">제13 </t>
  </si>
  <si>
    <t xml:space="preserve">제14 </t>
  </si>
  <si>
    <t xml:space="preserve">제15 </t>
  </si>
  <si>
    <t xml:space="preserve">제16 </t>
  </si>
  <si>
    <t xml:space="preserve"> 내지 </t>
  </si>
  <si>
    <t xml:space="preserve"> to </t>
  </si>
  <si>
    <t>본 발명</t>
  </si>
  <si>
    <t>실시 예</t>
  </si>
  <si>
    <t>변형 예</t>
  </si>
  <si>
    <t xml:space="preserve">다수의 </t>
  </si>
  <si>
    <t xml:space="preserve">a plurality of </t>
  </si>
  <si>
    <t xml:space="preserve"> 혹은 </t>
  </si>
  <si>
    <t xml:space="preserve"> or </t>
  </si>
  <si>
    <t>(예컨대</t>
  </si>
  <si>
    <t xml:space="preserve">제17 </t>
  </si>
  <si>
    <t xml:space="preserve">제18 </t>
  </si>
  <si>
    <t xml:space="preserve">제19 </t>
  </si>
  <si>
    <t xml:space="preserve">제20 </t>
  </si>
  <si>
    <t xml:space="preserve">그리고 </t>
  </si>
  <si>
    <t xml:space="preserve">and </t>
  </si>
  <si>
    <t>(예컨데</t>
  </si>
  <si>
    <t xml:space="preserve">제 6 </t>
  </si>
  <si>
    <t xml:space="preserve">sixth </t>
  </si>
  <si>
    <t xml:space="preserve">제 7 </t>
  </si>
  <si>
    <t xml:space="preserve">seventh </t>
  </si>
  <si>
    <t xml:space="preserve">제 8 </t>
  </si>
  <si>
    <t xml:space="preserve">eighth </t>
  </si>
  <si>
    <t xml:space="preserve">제 1 </t>
  </si>
  <si>
    <t xml:space="preserve">first </t>
  </si>
  <si>
    <t xml:space="preserve">제 2 </t>
  </si>
  <si>
    <t xml:space="preserve">second </t>
  </si>
  <si>
    <t xml:space="preserve">제 3 </t>
  </si>
  <si>
    <t xml:space="preserve">third </t>
  </si>
  <si>
    <t xml:space="preserve">제 4 </t>
  </si>
  <si>
    <t xml:space="preserve">fourth </t>
  </si>
  <si>
    <t xml:space="preserve">제 5 </t>
  </si>
  <si>
    <t xml:space="preserve">fifth </t>
  </si>
  <si>
    <t xml:space="preserve">제 9 </t>
  </si>
  <si>
    <t xml:space="preserve">ninth </t>
  </si>
  <si>
    <t xml:space="preserve">제10 </t>
  </si>
  <si>
    <t xml:space="preserve">제11 </t>
  </si>
  <si>
    <t xml:space="preserve">제12 </t>
  </si>
  <si>
    <t xml:space="preserve">제8 </t>
  </si>
  <si>
    <t>단면도</t>
  </si>
  <si>
    <t>sectional view</t>
  </si>
  <si>
    <t>사시도</t>
  </si>
  <si>
    <t>perspective view</t>
  </si>
  <si>
    <t xml:space="preserve">즉, </t>
  </si>
  <si>
    <t xml:space="preserve">In other words, </t>
  </si>
  <si>
    <t>예컨데</t>
  </si>
  <si>
    <t>측면도</t>
  </si>
  <si>
    <t>side view</t>
  </si>
  <si>
    <t>평면도</t>
  </si>
  <si>
    <t>plan view</t>
  </si>
  <si>
    <t>순서도</t>
  </si>
  <si>
    <t>flow chart</t>
  </si>
  <si>
    <t>확대도</t>
  </si>
  <si>
    <t>enlarged view</t>
  </si>
  <si>
    <t>회로도</t>
  </si>
  <si>
    <t>circuit diagram</t>
  </si>
  <si>
    <t>비교예</t>
  </si>
  <si>
    <t>comparative example</t>
  </si>
  <si>
    <t>개략도</t>
  </si>
  <si>
    <t>schematic diagram</t>
  </si>
  <si>
    <t>; 및</t>
  </si>
  <si>
    <t>; and</t>
  </si>
  <si>
    <t xml:space="preserve">후속 </t>
  </si>
  <si>
    <t xml:space="preserve">subsequent </t>
  </si>
  <si>
    <t>블록도</t>
  </si>
  <si>
    <t>block diagram</t>
  </si>
  <si>
    <t>실시예</t>
  </si>
  <si>
    <t>embodiment</t>
  </si>
  <si>
    <t xml:space="preserve">제9 </t>
  </si>
  <si>
    <t xml:space="preserve">또는 </t>
  </si>
  <si>
    <t xml:space="preserve">or </t>
  </si>
  <si>
    <t>복수의</t>
  </si>
  <si>
    <t xml:space="preserve">대략 </t>
  </si>
  <si>
    <t xml:space="preserve">about </t>
  </si>
  <si>
    <t xml:space="preserve">제1 </t>
  </si>
  <si>
    <t xml:space="preserve">제2 </t>
  </si>
  <si>
    <t xml:space="preserve">제3 </t>
  </si>
  <si>
    <t xml:space="preserve">제4 </t>
  </si>
  <si>
    <t xml:space="preserve">제5 </t>
  </si>
  <si>
    <t xml:space="preserve">제6 </t>
  </si>
  <si>
    <t xml:space="preserve">제7 </t>
  </si>
  <si>
    <t>section</t>
  </si>
  <si>
    <t xml:space="preserve">및 </t>
  </si>
  <si>
    <t>점선</t>
  </si>
  <si>
    <t>dotted line</t>
  </si>
  <si>
    <t>Ⅱ</t>
  </si>
  <si>
    <t>II</t>
  </si>
  <si>
    <t>Ⅰ</t>
  </si>
  <si>
    <t>I</t>
  </si>
  <si>
    <t>Ⅲ</t>
  </si>
  <si>
    <t>III</t>
  </si>
  <si>
    <t>일부 실시예</t>
  </si>
  <si>
    <t xml:space="preserve">적어FIG&gt; </t>
  </si>
  <si>
    <t xml:space="preserve">적어도 </t>
  </si>
  <si>
    <t xml:space="preserve">적어FIG. </t>
  </si>
  <si>
    <t xml:space="preserve">(ex, </t>
  </si>
  <si>
    <t>흐름도</t>
  </si>
  <si>
    <t>산업상 이용가능성</t>
  </si>
  <si>
    <t>Industrial Applicability</t>
  </si>
  <si>
    <t>동일한 참조 부호</t>
  </si>
  <si>
    <t>the same reference number</t>
  </si>
  <si>
    <t>【표([0-9])】</t>
  </si>
  <si>
    <t>열1</t>
  </si>
  <si>
    <t>열2</t>
  </si>
  <si>
    <t>열3</t>
  </si>
  <si>
    <r>
      <t xml:space="preserve">( </t>
    </r>
    <r>
      <rPr>
        <sz val="11"/>
        <color rgb="FF000000"/>
        <rFont val="돋움"/>
        <family val="3"/>
        <charset val="129"/>
      </rPr>
      <t>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도시함</t>
    </r>
    <r>
      <rPr>
        <sz val="11"/>
        <color rgb="FF000000"/>
        <rFont val="Calibri"/>
        <family val="2"/>
      </rPr>
      <t xml:space="preserve"> )</t>
    </r>
    <phoneticPr fontId="1" type="noConversion"/>
  </si>
  <si>
    <t xml:space="preserve"> (e.g.,</t>
    <phoneticPr fontId="1" type="noConversion"/>
  </si>
  <si>
    <t xml:space="preserve"> (e.g.,</t>
    <phoneticPr fontId="1" type="noConversion"/>
  </si>
  <si>
    <r>
      <rPr>
        <sz val="11"/>
        <color rgb="FF000000"/>
        <rFont val="돋움"/>
        <family val="3"/>
        <charset val="129"/>
      </rPr>
      <t>분해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사시도</t>
    </r>
    <phoneticPr fontId="1" type="noConversion"/>
  </si>
  <si>
    <t>exploded perspective view</t>
    <phoneticPr fontId="1" type="noConversion"/>
  </si>
  <si>
    <t>some embodiments</t>
    <phoneticPr fontId="1" type="noConversion"/>
  </si>
  <si>
    <r>
      <rPr>
        <sz val="11"/>
        <color rgb="FF000000"/>
        <rFont val="돋움"/>
        <family val="3"/>
        <charset val="129"/>
      </rPr>
      <t>상기</t>
    </r>
    <r>
      <rPr>
        <sz val="11"/>
        <color rgb="FF000000"/>
        <rFont val="Calibri"/>
        <family val="2"/>
      </rPr>
      <t xml:space="preserve"> </t>
    </r>
    <phoneticPr fontId="1" type="noConversion"/>
  </si>
  <si>
    <t xml:space="preserve">the </t>
    <phoneticPr fontId="1" type="noConversion"/>
  </si>
  <si>
    <t>단면</t>
    <phoneticPr fontId="1" type="noConversion"/>
  </si>
  <si>
    <t>embodiment</t>
    <phoneticPr fontId="1" type="noConversion"/>
  </si>
  <si>
    <t>an embodiment</t>
    <phoneticPr fontId="1" type="noConversion"/>
  </si>
  <si>
    <t>according to an embodiment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</si>
  <si>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</si>
  <si>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</si>
  <si>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</si>
  <si>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</si>
  <si>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</si>
  <si>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</si>
  <si>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</si>
  <si>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</si>
  <si>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</si>
  <si>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</si>
  <si>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</si>
  <si>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modified example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</si>
</sst>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표준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22" totalsRowShown="0">
  <autoFilter ref="A1:H122"/>
  <sortState ref="A2:H128">
    <sortCondition descending="1" ref="H2:H128"/>
    <sortCondition descending="1" ref="G2:G128"/>
  </sortState>
  <tableColumns count="8">
    <tableColumn id="1" name="T1"/>
    <tableColumn id="2" name="T2"/>
    <tableColumn id="3" name="P"/>
    <tableColumn id="4" name="W"/>
    <tableColumn id="5" name="D"/>
    <tableColumn id="6" name="열1" dataDxfId="2">
      <calculatedColumnFormula>LEN(Table1[[#This Row],[T1]])</calculatedColumnFormula>
    </tableColumn>
    <tableColumn id="7" name="열2" dataDxfId="1">
      <calculatedColumnFormula>TRIM(Table1[[#This Row],[T1]])</calculatedColumnFormula>
    </tableColumn>
    <tableColumn id="8" name="열3" dataDxfId="0">
      <calculatedColumnFormula>LEN(Table1[[#This Row],[열2]])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workbookViewId="0">
      <selection activeCell="K9" sqref="K9"/>
    </sheetView>
  </sheetViews>
  <sheetFormatPr defaultRowHeight="14.25" x14ac:dyDescent="0.45"/>
  <cols>
    <col min="1" max="1" width="26.265625" customWidth="1"/>
    <col min="2" max="2" width="35.86328125" customWidth="1"/>
    <col min="3" max="3" width="2.86328125" customWidth="1"/>
    <col min="4" max="4" width="3.73046875" customWidth="1"/>
    <col min="5" max="5" width="6.39843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199</v>
      </c>
      <c r="G1" t="s">
        <v>200</v>
      </c>
      <c r="H1" t="s">
        <v>201</v>
      </c>
    </row>
    <row r="2" spans="1:8" x14ac:dyDescent="0.45">
      <c r="A2" t="s">
        <v>5</v>
      </c>
      <c r="B2" t="s">
        <v>6</v>
      </c>
      <c r="C2" t="s">
        <v>7</v>
      </c>
      <c r="D2" t="s">
        <v>7</v>
      </c>
      <c r="E2" t="s">
        <v>8</v>
      </c>
      <c r="F2">
        <f>LEN(Table1[[#This Row],[T1]])</f>
        <v>13</v>
      </c>
      <c r="G2" t="str">
        <f>TRIM(Table1[[#This Row],[T1]])</f>
        <v>평면적인 관점에서 볼 때</v>
      </c>
      <c r="H2">
        <f>LEN(Table1[[#This Row],[열2]])</f>
        <v>13</v>
      </c>
    </row>
    <row r="3" spans="1:8" x14ac:dyDescent="0.45">
      <c r="A3" t="s">
        <v>15</v>
      </c>
      <c r="B3" t="s">
        <v>16</v>
      </c>
      <c r="C3" t="s">
        <v>214</v>
      </c>
      <c r="D3" t="s">
        <v>217</v>
      </c>
      <c r="E3" t="s">
        <v>8</v>
      </c>
      <c r="F3">
        <f>LEN(Table1[[#This Row],[T1]])</f>
        <v>11</v>
      </c>
      <c r="G3" t="str">
        <f>TRIM(Table1[[#This Row],[T1]])</f>
        <v>설명의 편의를 위하여</v>
      </c>
      <c r="H3">
        <f>LEN(Table1[[#This Row],[열2]])</f>
        <v>11</v>
      </c>
    </row>
    <row r="4" spans="1:8" x14ac:dyDescent="0.45">
      <c r="A4" t="s">
        <v>17</v>
      </c>
      <c r="B4" t="s">
        <v>16</v>
      </c>
      <c r="C4" t="s">
        <v>215</v>
      </c>
      <c r="D4" t="s">
        <v>216</v>
      </c>
      <c r="E4" t="s">
        <v>8</v>
      </c>
      <c r="F4">
        <f>LEN(Table1[[#This Row],[T1]])</f>
        <v>11</v>
      </c>
      <c r="G4" t="str">
        <f>TRIM(Table1[[#This Row],[T1]])</f>
        <v>설명의 간결함을 위해</v>
      </c>
      <c r="H4">
        <f>LEN(Table1[[#This Row],[열2]])</f>
        <v>11</v>
      </c>
    </row>
    <row r="5" spans="1:8" x14ac:dyDescent="0.45">
      <c r="A5" t="s">
        <v>9</v>
      </c>
      <c r="B5" t="s">
        <v>10</v>
      </c>
      <c r="C5" t="s">
        <v>7</v>
      </c>
      <c r="D5" t="s">
        <v>11</v>
      </c>
      <c r="E5" t="s">
        <v>8</v>
      </c>
      <c r="F5">
        <f>LEN(Table1[[#This Row],[T1]])</f>
        <v>11</v>
      </c>
      <c r="G5" t="str">
        <f>TRIM(Table1[[#This Row],[T1]])</f>
        <v>【표 ([0-9])】</v>
      </c>
      <c r="H5">
        <f>LEN(Table1[[#This Row],[열2]])</f>
        <v>11</v>
      </c>
    </row>
    <row r="6" spans="1:8" x14ac:dyDescent="0.45">
      <c r="A6" t="s">
        <v>19</v>
      </c>
      <c r="B6" t="s">
        <v>20</v>
      </c>
      <c r="C6" t="s">
        <v>214</v>
      </c>
      <c r="D6" t="s">
        <v>214</v>
      </c>
      <c r="E6" t="s">
        <v>8</v>
      </c>
      <c r="F6">
        <f>LEN(Table1[[#This Row],[T1]])</f>
        <v>10</v>
      </c>
      <c r="G6" t="str">
        <f>TRIM(Table1[[#This Row],[T1]])</f>
        <v>종래 기술의 문제점</v>
      </c>
      <c r="H6">
        <f>LEN(Table1[[#This Row],[열2]])</f>
        <v>10</v>
      </c>
    </row>
    <row r="7" spans="1:8" x14ac:dyDescent="0.45">
      <c r="A7" t="s">
        <v>18</v>
      </c>
      <c r="B7" t="s">
        <v>213</v>
      </c>
      <c r="C7" t="s">
        <v>7</v>
      </c>
      <c r="D7" t="s">
        <v>7</v>
      </c>
      <c r="E7" t="s">
        <v>8</v>
      </c>
      <c r="F7">
        <f>LEN(Table1[[#This Row],[T1]])</f>
        <v>10</v>
      </c>
      <c r="G7" t="str">
        <f>TRIM(Table1[[#This Row],[T1]])</f>
        <v>일 실시예에 따르면</v>
      </c>
      <c r="H7">
        <f>LEN(Table1[[#This Row],[열2]])</f>
        <v>10</v>
      </c>
    </row>
    <row r="8" spans="1:8" x14ac:dyDescent="0.45">
      <c r="A8" t="s">
        <v>198</v>
      </c>
      <c r="B8" t="s">
        <v>10</v>
      </c>
      <c r="C8" t="s">
        <v>7</v>
      </c>
      <c r="D8" t="s">
        <v>11</v>
      </c>
      <c r="E8" t="s">
        <v>8</v>
      </c>
      <c r="F8">
        <f>LEN(Table1[[#This Row],[T1]])</f>
        <v>10</v>
      </c>
      <c r="G8" t="str">
        <f>TRIM(Table1[[#This Row],[T1]])</f>
        <v>【표([0-9])】</v>
      </c>
      <c r="H8">
        <f>LEN(Table1[[#This Row],[열2]])</f>
        <v>10</v>
      </c>
    </row>
    <row r="9" spans="1:8" x14ac:dyDescent="0.45">
      <c r="A9" t="s">
        <v>22</v>
      </c>
      <c r="B9" t="s">
        <v>6</v>
      </c>
      <c r="C9" t="s">
        <v>7</v>
      </c>
      <c r="D9" t="s">
        <v>7</v>
      </c>
      <c r="E9" t="s">
        <v>8</v>
      </c>
      <c r="F9">
        <f>LEN(Table1[[#This Row],[T1]])</f>
        <v>9</v>
      </c>
      <c r="G9" t="str">
        <f>TRIM(Table1[[#This Row],[T1]])</f>
        <v>평면적인 관점에서</v>
      </c>
      <c r="H9">
        <f>LEN(Table1[[#This Row],[열2]])</f>
        <v>9</v>
      </c>
    </row>
    <row r="10" spans="1:8" x14ac:dyDescent="0.45">
      <c r="A10" t="s">
        <v>21</v>
      </c>
      <c r="B10" t="s">
        <v>6</v>
      </c>
      <c r="C10" t="s">
        <v>7</v>
      </c>
      <c r="D10" t="s">
        <v>7</v>
      </c>
      <c r="E10" t="s">
        <v>8</v>
      </c>
      <c r="F10">
        <f>LEN(Table1[[#This Row],[T1]])</f>
        <v>9</v>
      </c>
      <c r="G10" t="str">
        <f>TRIM(Table1[[#This Row],[T1]])</f>
        <v>평면적으로 볼 때</v>
      </c>
      <c r="H10">
        <f>LEN(Table1[[#This Row],[열2]])</f>
        <v>9</v>
      </c>
    </row>
    <row r="11" spans="1:8" x14ac:dyDescent="0.45">
      <c r="A11" t="s">
        <v>25</v>
      </c>
      <c r="B11" t="s">
        <v>26</v>
      </c>
      <c r="C11" t="s">
        <v>7</v>
      </c>
      <c r="D11" t="s">
        <v>7</v>
      </c>
      <c r="E11" t="s">
        <v>8</v>
      </c>
      <c r="F11">
        <f>LEN(Table1[[#This Row],[T1]])</f>
        <v>9</v>
      </c>
      <c r="G11" t="str">
        <f>TRIM(Table1[[#This Row],[T1]])</f>
        <v>종래 기술의 설명</v>
      </c>
      <c r="H11">
        <f>LEN(Table1[[#This Row],[열2]])</f>
        <v>9</v>
      </c>
    </row>
    <row r="12" spans="1:8" x14ac:dyDescent="0.45">
      <c r="A12" t="s">
        <v>194</v>
      </c>
      <c r="B12" t="s">
        <v>195</v>
      </c>
      <c r="C12" t="s">
        <v>7</v>
      </c>
      <c r="D12" t="s">
        <v>7</v>
      </c>
      <c r="E12" t="s">
        <v>8</v>
      </c>
      <c r="F12">
        <f>LEN(Table1[[#This Row],[T1]])</f>
        <v>9</v>
      </c>
      <c r="G12" t="str">
        <f>TRIM(Table1[[#This Row],[T1]])</f>
        <v>산업상 이용가능성</v>
      </c>
      <c r="H12">
        <f>LEN(Table1[[#This Row],[열2]])</f>
        <v>9</v>
      </c>
    </row>
    <row r="13" spans="1:8" x14ac:dyDescent="0.45">
      <c r="A13" t="s">
        <v>27</v>
      </c>
      <c r="B13" t="s">
        <v>28</v>
      </c>
      <c r="C13" t="s">
        <v>11</v>
      </c>
      <c r="D13" t="s">
        <v>7</v>
      </c>
      <c r="E13" t="s">
        <v>8</v>
      </c>
      <c r="F13">
        <f>LEN(Table1[[#This Row],[T1]])</f>
        <v>9</v>
      </c>
      <c r="G13" t="str">
        <f>TRIM(Table1[[#This Row],[T1]])</f>
        <v>또 다른 실시 예</v>
      </c>
      <c r="H13">
        <f>LEN(Table1[[#This Row],[열2]])</f>
        <v>9</v>
      </c>
    </row>
    <row r="14" spans="1:8" x14ac:dyDescent="0.45">
      <c r="A14" t="s">
        <v>196</v>
      </c>
      <c r="B14" t="s">
        <v>197</v>
      </c>
      <c r="C14" t="s">
        <v>7</v>
      </c>
      <c r="D14" t="s">
        <v>7</v>
      </c>
      <c r="E14" t="s">
        <v>8</v>
      </c>
      <c r="F14">
        <f>LEN(Table1[[#This Row],[T1]])</f>
        <v>9</v>
      </c>
      <c r="G14" t="str">
        <f>TRIM(Table1[[#This Row],[T1]])</f>
        <v>동일한 참조 부호</v>
      </c>
      <c r="H14">
        <f>LEN(Table1[[#This Row],[열2]])</f>
        <v>9</v>
      </c>
    </row>
    <row r="15" spans="1:8" x14ac:dyDescent="0.45">
      <c r="A15" t="s">
        <v>23</v>
      </c>
      <c r="B15" t="s">
        <v>24</v>
      </c>
      <c r="C15" t="s">
        <v>11</v>
      </c>
      <c r="D15" t="s">
        <v>11</v>
      </c>
      <c r="E15" t="s">
        <v>8</v>
      </c>
      <c r="F15">
        <f>LEN(Table1[[#This Row],[T1]])</f>
        <v>9</v>
      </c>
      <c r="G15" t="str">
        <f>TRIM(Table1[[#This Row],[T1]])</f>
        <v>도 ([0-9])</v>
      </c>
      <c r="H15">
        <f>LEN(Table1[[#This Row],[열2]])</f>
        <v>9</v>
      </c>
    </row>
    <row r="16" spans="1:8" x14ac:dyDescent="0.45">
      <c r="A16" t="s">
        <v>30</v>
      </c>
      <c r="B16" t="s">
        <v>6</v>
      </c>
      <c r="C16" t="s">
        <v>7</v>
      </c>
      <c r="D16" t="s">
        <v>7</v>
      </c>
      <c r="E16" t="s">
        <v>8</v>
      </c>
      <c r="F16">
        <f>LEN(Table1[[#This Row],[T1]])</f>
        <v>8</v>
      </c>
      <c r="G16" t="str">
        <f>TRIM(Table1[[#This Row],[T1]])</f>
        <v>평면적으로 보아</v>
      </c>
      <c r="H16">
        <f>LEN(Table1[[#This Row],[열2]])</f>
        <v>8</v>
      </c>
    </row>
    <row r="17" spans="1:8" x14ac:dyDescent="0.45">
      <c r="A17" t="s">
        <v>29</v>
      </c>
      <c r="B17" t="s">
        <v>6</v>
      </c>
      <c r="C17" t="s">
        <v>7</v>
      </c>
      <c r="D17" t="s">
        <v>7</v>
      </c>
      <c r="E17" t="s">
        <v>8</v>
      </c>
      <c r="F17">
        <f>LEN(Table1[[#This Row],[T1]])</f>
        <v>8</v>
      </c>
      <c r="G17" t="str">
        <f>TRIM(Table1[[#This Row],[T1]])</f>
        <v>평면적 관점으로</v>
      </c>
      <c r="H17">
        <f>LEN(Table1[[#This Row],[열2]])</f>
        <v>8</v>
      </c>
    </row>
    <row r="18" spans="1:8" x14ac:dyDescent="0.45">
      <c r="A18" t="s">
        <v>31</v>
      </c>
      <c r="B18" t="s">
        <v>28</v>
      </c>
      <c r="C18" t="s">
        <v>11</v>
      </c>
      <c r="D18" t="s">
        <v>7</v>
      </c>
      <c r="E18" t="s">
        <v>8</v>
      </c>
      <c r="F18">
        <f>LEN(Table1[[#This Row],[T1]])</f>
        <v>8</v>
      </c>
      <c r="G18" t="str">
        <f>TRIM(Table1[[#This Row],[T1]])</f>
        <v>또 다른 실시예</v>
      </c>
      <c r="H18">
        <f>LEN(Table1[[#This Row],[열2]])</f>
        <v>8</v>
      </c>
    </row>
    <row r="19" spans="1:8" x14ac:dyDescent="0.45">
      <c r="A19" t="s">
        <v>189</v>
      </c>
      <c r="B19" t="s">
        <v>190</v>
      </c>
      <c r="C19" t="s">
        <v>224</v>
      </c>
      <c r="D19" t="s">
        <v>219</v>
      </c>
      <c r="E19" t="s">
        <v>8</v>
      </c>
      <c r="F19">
        <f>LEN(Table1[[#This Row],[T1]])</f>
        <v>7</v>
      </c>
      <c r="G19" t="str">
        <f>TRIM(Table1[[#This Row],[T1]])</f>
        <v>적어FIG&gt;</v>
      </c>
      <c r="H19">
        <f>LEN(Table1[[#This Row],[열2]])</f>
        <v>6</v>
      </c>
    </row>
    <row r="20" spans="1:8" x14ac:dyDescent="0.45">
      <c r="A20" t="s">
        <v>191</v>
      </c>
      <c r="B20" t="s">
        <v>190</v>
      </c>
      <c r="C20" t="s">
        <v>215</v>
      </c>
      <c r="D20" t="s">
        <v>223</v>
      </c>
      <c r="E20" t="s">
        <v>8</v>
      </c>
      <c r="F20">
        <f>LEN(Table1[[#This Row],[T1]])</f>
        <v>7</v>
      </c>
      <c r="G20" t="str">
        <f>TRIM(Table1[[#This Row],[T1]])</f>
        <v>적어FIG.</v>
      </c>
      <c r="H20">
        <f>LEN(Table1[[#This Row],[열2]])</f>
        <v>6</v>
      </c>
    </row>
    <row r="21" spans="1:8" ht="14.65" x14ac:dyDescent="0.45">
      <c r="A21" t="s">
        <v>205</v>
      </c>
      <c r="B21" t="s">
        <v>206</v>
      </c>
      <c r="C21" t="s">
        <v>7</v>
      </c>
      <c r="D21" t="s">
        <v>7</v>
      </c>
      <c r="E21" t="s">
        <v>8</v>
      </c>
      <c r="F21">
        <f>LEN(Table1[[#This Row],[T1]])</f>
        <v>6</v>
      </c>
      <c r="G21" t="str">
        <f>TRIM(Table1[[#This Row],[T1]])</f>
        <v>분해 사시도</v>
      </c>
      <c r="H21">
        <f>LEN(Table1[[#This Row],[열2]])</f>
        <v>6</v>
      </c>
    </row>
    <row r="22" spans="1:8" x14ac:dyDescent="0.45">
      <c r="A22" t="s">
        <v>188</v>
      </c>
      <c r="B22" t="s">
        <v>207</v>
      </c>
      <c r="C22" t="s">
        <v>7</v>
      </c>
      <c r="D22" t="s">
        <v>7</v>
      </c>
      <c r="E22" t="s">
        <v>8</v>
      </c>
      <c r="F22">
        <f>LEN(Table1[[#This Row],[T1]])</f>
        <v>6</v>
      </c>
      <c r="G22" t="str">
        <f>TRIM(Table1[[#This Row],[T1]])</f>
        <v>일부 실시예</v>
      </c>
      <c r="H22">
        <f>LEN(Table1[[#This Row],[열2]])</f>
        <v>6</v>
      </c>
    </row>
    <row r="23" spans="1:8" x14ac:dyDescent="0.45">
      <c r="A23" t="s">
        <v>50</v>
      </c>
      <c r="B23" t="s">
        <v>51</v>
      </c>
      <c r="C23" t="s">
        <v>7</v>
      </c>
      <c r="D23" t="s">
        <v>7</v>
      </c>
      <c r="E23" t="s">
        <v>8</v>
      </c>
      <c r="F23">
        <f>LEN(Table1[[#This Row],[T1]])</f>
        <v>6</v>
      </c>
      <c r="G23" t="str">
        <f>TRIM(Table1[[#This Row],[T1]])</f>
        <v>이에 더하여</v>
      </c>
      <c r="H23">
        <f>LEN(Table1[[#This Row],[열2]])</f>
        <v>6</v>
      </c>
    </row>
    <row r="24" spans="1:8" x14ac:dyDescent="0.45">
      <c r="A24" t="s">
        <v>48</v>
      </c>
      <c r="B24" t="s">
        <v>49</v>
      </c>
      <c r="C24" t="s">
        <v>7</v>
      </c>
      <c r="D24" t="s">
        <v>7</v>
      </c>
      <c r="E24" t="s">
        <v>8</v>
      </c>
      <c r="F24">
        <f>LEN(Table1[[#This Row],[T1]])</f>
        <v>6</v>
      </c>
      <c r="G24" t="str">
        <f>TRIM(Table1[[#This Row],[T1]])</f>
        <v>유사한 방법</v>
      </c>
      <c r="H24">
        <f>LEN(Table1[[#This Row],[열2]])</f>
        <v>6</v>
      </c>
    </row>
    <row r="25" spans="1:8" x14ac:dyDescent="0.45">
      <c r="A25" t="s">
        <v>46</v>
      </c>
      <c r="B25" t="s">
        <v>47</v>
      </c>
      <c r="C25" t="s">
        <v>7</v>
      </c>
      <c r="D25" t="s">
        <v>7</v>
      </c>
      <c r="E25" t="s">
        <v>8</v>
      </c>
      <c r="F25">
        <f>LEN(Table1[[#This Row],[T1]])</f>
        <v>6</v>
      </c>
      <c r="G25" t="str">
        <f>TRIM(Table1[[#This Row],[T1]])</f>
        <v>동일한 물질</v>
      </c>
      <c r="H25">
        <f>LEN(Table1[[#This Row],[열2]])</f>
        <v>6</v>
      </c>
    </row>
    <row r="26" spans="1:8" x14ac:dyDescent="0.45">
      <c r="A26" t="s">
        <v>44</v>
      </c>
      <c r="B26" t="s">
        <v>45</v>
      </c>
      <c r="C26" t="s">
        <v>214</v>
      </c>
      <c r="D26" t="s">
        <v>214</v>
      </c>
      <c r="E26" t="s">
        <v>8</v>
      </c>
      <c r="F26">
        <f>LEN(Table1[[#This Row],[T1]])</f>
        <v>6</v>
      </c>
      <c r="G26" t="str">
        <f>TRIM(Table1[[#This Row],[T1]])</f>
        <v>다시 말하면</v>
      </c>
      <c r="H26">
        <f>LEN(Table1[[#This Row],[열2]])</f>
        <v>6</v>
      </c>
    </row>
    <row r="27" spans="1:8" x14ac:dyDescent="0.45">
      <c r="A27" t="s">
        <v>38</v>
      </c>
      <c r="B27" t="s">
        <v>39</v>
      </c>
      <c r="C27" t="s">
        <v>11</v>
      </c>
      <c r="D27" t="s">
        <v>7</v>
      </c>
      <c r="E27" t="s">
        <v>8</v>
      </c>
      <c r="F27">
        <f>LEN(Table1[[#This Row],[T1]])</f>
        <v>6</v>
      </c>
      <c r="G27" t="str">
        <f>TRIM(Table1[[#This Row],[T1]])</f>
        <v>기술적 특징</v>
      </c>
      <c r="H27">
        <f>LEN(Table1[[#This Row],[열2]])</f>
        <v>6</v>
      </c>
    </row>
    <row r="28" spans="1:8" x14ac:dyDescent="0.45">
      <c r="A28" t="s">
        <v>40</v>
      </c>
      <c r="B28" t="s">
        <v>41</v>
      </c>
      <c r="C28" t="s">
        <v>7</v>
      </c>
      <c r="D28" t="s">
        <v>7</v>
      </c>
      <c r="E28" t="s">
        <v>8</v>
      </c>
      <c r="F28">
        <f>LEN(Table1[[#This Row],[T1]])</f>
        <v>6</v>
      </c>
      <c r="G28" t="str">
        <f>TRIM(Table1[[#This Row],[T1]])</f>
        <v>기술적 사상</v>
      </c>
      <c r="H28">
        <f>LEN(Table1[[#This Row],[열2]])</f>
        <v>6</v>
      </c>
    </row>
    <row r="29" spans="1:8" x14ac:dyDescent="0.45">
      <c r="A29" t="s">
        <v>37</v>
      </c>
      <c r="B29" t="s">
        <v>34</v>
      </c>
      <c r="C29" t="s">
        <v>7</v>
      </c>
      <c r="D29" t="s">
        <v>7</v>
      </c>
      <c r="E29" t="s">
        <v>8</v>
      </c>
      <c r="F29">
        <f>LEN(Table1[[#This Row],[T1]])</f>
        <v>6</v>
      </c>
      <c r="G29" t="str">
        <f>TRIM(Table1[[#This Row],[T1]])</f>
        <v>(예를 들어</v>
      </c>
      <c r="H29">
        <f>LEN(Table1[[#This Row],[열2]])</f>
        <v>6</v>
      </c>
    </row>
    <row r="30" spans="1:8" x14ac:dyDescent="0.45">
      <c r="A30" t="s">
        <v>33</v>
      </c>
      <c r="B30" t="s">
        <v>34</v>
      </c>
      <c r="C30" t="s">
        <v>7</v>
      </c>
      <c r="D30" t="s">
        <v>7</v>
      </c>
      <c r="E30" t="s">
        <v>8</v>
      </c>
      <c r="F30">
        <f>LEN(Table1[[#This Row],[T1]])</f>
        <v>6</v>
      </c>
      <c r="G30" t="str">
        <f>TRIM(Table1[[#This Row],[T1]])</f>
        <v>(예를 들면</v>
      </c>
      <c r="H30">
        <f>LEN(Table1[[#This Row],[열2]])</f>
        <v>6</v>
      </c>
    </row>
    <row r="31" spans="1:8" ht="14.65" x14ac:dyDescent="0.45">
      <c r="A31" t="s">
        <v>202</v>
      </c>
      <c r="B31" t="s">
        <v>32</v>
      </c>
      <c r="C31" t="s">
        <v>7</v>
      </c>
      <c r="D31" t="s">
        <v>7</v>
      </c>
      <c r="E31" t="s">
        <v>8</v>
      </c>
      <c r="F31">
        <f>LEN(Table1[[#This Row],[T1]])</f>
        <v>9</v>
      </c>
      <c r="G31" t="str">
        <f>TRIM(Table1[[#This Row],[T1]])</f>
        <v>( 미 도시함 )</v>
      </c>
      <c r="H31">
        <f>LEN(Table1[[#This Row],[열2]])</f>
        <v>9</v>
      </c>
    </row>
    <row r="32" spans="1:8" x14ac:dyDescent="0.45">
      <c r="A32" t="s">
        <v>92</v>
      </c>
      <c r="B32" t="s">
        <v>212</v>
      </c>
      <c r="C32" t="s">
        <v>11</v>
      </c>
      <c r="D32" t="s">
        <v>7</v>
      </c>
      <c r="E32" t="s">
        <v>8</v>
      </c>
      <c r="F32">
        <f>LEN(Table1[[#This Row],[T1]])</f>
        <v>5</v>
      </c>
      <c r="G32" t="str">
        <f>TRIM(Table1[[#This Row],[T1]])</f>
        <v>일 실시예</v>
      </c>
      <c r="H32">
        <f>LEN(Table1[[#This Row],[열2]])</f>
        <v>5</v>
      </c>
    </row>
    <row r="33" spans="1:8" x14ac:dyDescent="0.45">
      <c r="A33" t="s">
        <v>84</v>
      </c>
      <c r="B33" t="s">
        <v>83</v>
      </c>
      <c r="C33" t="s">
        <v>7</v>
      </c>
      <c r="D33" t="s">
        <v>7</v>
      </c>
      <c r="E33" t="s">
        <v>8</v>
      </c>
      <c r="F33">
        <f>LEN(Table1[[#This Row],[T1]])</f>
        <v>5</v>
      </c>
      <c r="G33" t="str">
        <f>TRIM(Table1[[#This Row],[T1]])</f>
        <v>예를 들어</v>
      </c>
      <c r="H33">
        <f>LEN(Table1[[#This Row],[열2]])</f>
        <v>5</v>
      </c>
    </row>
    <row r="34" spans="1:8" x14ac:dyDescent="0.45">
      <c r="A34" t="s">
        <v>82</v>
      </c>
      <c r="B34" t="s">
        <v>83</v>
      </c>
      <c r="C34" t="s">
        <v>7</v>
      </c>
      <c r="D34" t="s">
        <v>7</v>
      </c>
      <c r="E34" t="s">
        <v>8</v>
      </c>
      <c r="F34">
        <f>LEN(Table1[[#This Row],[T1]])</f>
        <v>5</v>
      </c>
      <c r="G34" t="str">
        <f>TRIM(Table1[[#This Row],[T1]])</f>
        <v>예를 들면</v>
      </c>
      <c r="H34">
        <f>LEN(Table1[[#This Row],[열2]])</f>
        <v>5</v>
      </c>
    </row>
    <row r="35" spans="1:8" x14ac:dyDescent="0.45">
      <c r="A35" t="s">
        <v>90</v>
      </c>
      <c r="B35" t="s">
        <v>91</v>
      </c>
      <c r="C35" t="s">
        <v>7</v>
      </c>
      <c r="D35" t="s">
        <v>7</v>
      </c>
      <c r="E35" t="s">
        <v>8</v>
      </c>
      <c r="F35">
        <f>LEN(Table1[[#This Row],[T1]])</f>
        <v>5</v>
      </c>
      <c r="G35" t="str">
        <f>TRIM(Table1[[#This Row],[T1]])</f>
        <v>본원 발명</v>
      </c>
      <c r="H35">
        <f>LEN(Table1[[#This Row],[열2]])</f>
        <v>5</v>
      </c>
    </row>
    <row r="36" spans="1:8" x14ac:dyDescent="0.45">
      <c r="A36" t="s">
        <v>86</v>
      </c>
      <c r="B36" t="s">
        <v>87</v>
      </c>
      <c r="C36" t="s">
        <v>7</v>
      </c>
      <c r="D36" t="s">
        <v>7</v>
      </c>
      <c r="E36" t="s">
        <v>8</v>
      </c>
      <c r="F36">
        <f>LEN(Table1[[#This Row],[T1]])</f>
        <v>5</v>
      </c>
      <c r="G36" t="str">
        <f>TRIM(Table1[[#This Row],[T1]])</f>
        <v>본 실시예</v>
      </c>
      <c r="H36">
        <f>LEN(Table1[[#This Row],[열2]])</f>
        <v>5</v>
      </c>
    </row>
    <row r="37" spans="1:8" x14ac:dyDescent="0.45">
      <c r="A37" t="s">
        <v>88</v>
      </c>
      <c r="B37" t="s">
        <v>89</v>
      </c>
      <c r="C37" t="s">
        <v>7</v>
      </c>
      <c r="D37" t="s">
        <v>7</v>
      </c>
      <c r="E37" t="s">
        <v>8</v>
      </c>
      <c r="F37">
        <f>LEN(Table1[[#This Row],[T1]])</f>
        <v>5</v>
      </c>
      <c r="G37" t="str">
        <f>TRIM(Table1[[#This Row],[T1]])</f>
        <v>복수 개의</v>
      </c>
      <c r="H37">
        <f>LEN(Table1[[#This Row],[열2]])</f>
        <v>5</v>
      </c>
    </row>
    <row r="38" spans="1:8" x14ac:dyDescent="0.45">
      <c r="A38" t="s">
        <v>42</v>
      </c>
      <c r="B38" t="s">
        <v>43</v>
      </c>
      <c r="C38" t="s">
        <v>218</v>
      </c>
      <c r="D38" t="s">
        <v>221</v>
      </c>
      <c r="E38" t="s">
        <v>8</v>
      </c>
      <c r="F38">
        <f>LEN(Table1[[#This Row],[T1]])</f>
        <v>6</v>
      </c>
      <c r="G38" t="str">
        <f>TRIM(Table1[[#This Row],[T1]])</f>
        <v>미국 특허</v>
      </c>
      <c r="H38">
        <f>LEN(Table1[[#This Row],[열2]])</f>
        <v>5</v>
      </c>
    </row>
    <row r="39" spans="1:8" x14ac:dyDescent="0.45">
      <c r="A39" t="s">
        <v>80</v>
      </c>
      <c r="B39" t="s">
        <v>81</v>
      </c>
      <c r="C39" t="s">
        <v>218</v>
      </c>
      <c r="D39" t="s">
        <v>218</v>
      </c>
      <c r="E39" t="s">
        <v>8</v>
      </c>
      <c r="F39">
        <f>LEN(Table1[[#This Row],[T1]])</f>
        <v>5</v>
      </c>
      <c r="G39" t="str">
        <f>TRIM(Table1[[#This Row],[T1]])</f>
        <v>도면 부호</v>
      </c>
      <c r="H39">
        <f>LEN(Table1[[#This Row],[열2]])</f>
        <v>5</v>
      </c>
    </row>
    <row r="40" spans="1:8" x14ac:dyDescent="0.45">
      <c r="A40" t="s">
        <v>85</v>
      </c>
      <c r="B40" t="s">
        <v>32</v>
      </c>
      <c r="C40" t="s">
        <v>7</v>
      </c>
      <c r="D40" t="s">
        <v>7</v>
      </c>
      <c r="E40" t="s">
        <v>8</v>
      </c>
      <c r="F40">
        <f>LEN(Table1[[#This Row],[T1]])</f>
        <v>5</v>
      </c>
      <c r="G40" t="str">
        <f>TRIM(Table1[[#This Row],[T1]])</f>
        <v>(미도시)</v>
      </c>
      <c r="H40">
        <f>LEN(Table1[[#This Row],[열2]])</f>
        <v>5</v>
      </c>
    </row>
    <row r="41" spans="1:8" x14ac:dyDescent="0.45">
      <c r="A41" t="s">
        <v>64</v>
      </c>
      <c r="B41" t="s">
        <v>65</v>
      </c>
      <c r="C41" t="s">
        <v>7</v>
      </c>
      <c r="D41" t="s">
        <v>7</v>
      </c>
      <c r="E41" t="s">
        <v>8</v>
      </c>
      <c r="F41">
        <f>LEN(Table1[[#This Row],[T1]])</f>
        <v>5</v>
      </c>
      <c r="G41" t="str">
        <f>TRIM(Table1[[#This Row],[T1]])</f>
        <v>제 20</v>
      </c>
      <c r="H41">
        <f>LEN(Table1[[#This Row],[열2]])</f>
        <v>4</v>
      </c>
    </row>
    <row r="42" spans="1:8" x14ac:dyDescent="0.45">
      <c r="A42" t="s">
        <v>62</v>
      </c>
      <c r="B42" t="s">
        <v>63</v>
      </c>
      <c r="C42" t="s">
        <v>7</v>
      </c>
      <c r="D42" t="s">
        <v>7</v>
      </c>
      <c r="E42" t="s">
        <v>8</v>
      </c>
      <c r="F42">
        <f>LEN(Table1[[#This Row],[T1]])</f>
        <v>5</v>
      </c>
      <c r="G42" t="str">
        <f>TRIM(Table1[[#This Row],[T1]])</f>
        <v>제 19</v>
      </c>
      <c r="H42">
        <f>LEN(Table1[[#This Row],[열2]])</f>
        <v>4</v>
      </c>
    </row>
    <row r="43" spans="1:8" x14ac:dyDescent="0.45">
      <c r="A43" t="s">
        <v>58</v>
      </c>
      <c r="B43" t="s">
        <v>59</v>
      </c>
      <c r="C43" t="s">
        <v>7</v>
      </c>
      <c r="D43" t="s">
        <v>7</v>
      </c>
      <c r="E43" t="s">
        <v>8</v>
      </c>
      <c r="F43">
        <f>LEN(Table1[[#This Row],[T1]])</f>
        <v>5</v>
      </c>
      <c r="G43" t="str">
        <f>TRIM(Table1[[#This Row],[T1]])</f>
        <v>제 18</v>
      </c>
      <c r="H43">
        <f>LEN(Table1[[#This Row],[열2]])</f>
        <v>4</v>
      </c>
    </row>
    <row r="44" spans="1:8" x14ac:dyDescent="0.45">
      <c r="A44" t="s">
        <v>56</v>
      </c>
      <c r="B44" t="s">
        <v>57</v>
      </c>
      <c r="C44" t="s">
        <v>7</v>
      </c>
      <c r="D44" t="s">
        <v>7</v>
      </c>
      <c r="E44" t="s">
        <v>8</v>
      </c>
      <c r="F44">
        <f>LEN(Table1[[#This Row],[T1]])</f>
        <v>5</v>
      </c>
      <c r="G44" t="str">
        <f>TRIM(Table1[[#This Row],[T1]])</f>
        <v>제 17</v>
      </c>
      <c r="H44">
        <f>LEN(Table1[[#This Row],[열2]])</f>
        <v>4</v>
      </c>
    </row>
    <row r="45" spans="1:8" x14ac:dyDescent="0.45">
      <c r="A45" t="s">
        <v>54</v>
      </c>
      <c r="B45" t="s">
        <v>55</v>
      </c>
      <c r="C45" t="s">
        <v>7</v>
      </c>
      <c r="D45" t="s">
        <v>7</v>
      </c>
      <c r="E45" t="s">
        <v>8</v>
      </c>
      <c r="F45">
        <f>LEN(Table1[[#This Row],[T1]])</f>
        <v>5</v>
      </c>
      <c r="G45" t="str">
        <f>TRIM(Table1[[#This Row],[T1]])</f>
        <v>제 16</v>
      </c>
      <c r="H45">
        <f>LEN(Table1[[#This Row],[열2]])</f>
        <v>4</v>
      </c>
    </row>
    <row r="46" spans="1:8" x14ac:dyDescent="0.45">
      <c r="A46" t="s">
        <v>52</v>
      </c>
      <c r="B46" t="s">
        <v>53</v>
      </c>
      <c r="C46" t="s">
        <v>7</v>
      </c>
      <c r="D46" t="s">
        <v>7</v>
      </c>
      <c r="E46" t="s">
        <v>8</v>
      </c>
      <c r="F46">
        <f>LEN(Table1[[#This Row],[T1]])</f>
        <v>5</v>
      </c>
      <c r="G46" t="str">
        <f>TRIM(Table1[[#This Row],[T1]])</f>
        <v>제 15</v>
      </c>
      <c r="H46">
        <f>LEN(Table1[[#This Row],[열2]])</f>
        <v>4</v>
      </c>
    </row>
    <row r="47" spans="1:8" x14ac:dyDescent="0.45">
      <c r="A47" t="s">
        <v>76</v>
      </c>
      <c r="B47" t="s">
        <v>77</v>
      </c>
      <c r="C47" t="s">
        <v>7</v>
      </c>
      <c r="D47" t="s">
        <v>7</v>
      </c>
      <c r="E47" t="s">
        <v>8</v>
      </c>
      <c r="F47">
        <f>LEN(Table1[[#This Row],[T1]])</f>
        <v>5</v>
      </c>
      <c r="G47" t="str">
        <f>TRIM(Table1[[#This Row],[T1]])</f>
        <v>제 14</v>
      </c>
      <c r="H47">
        <f>LEN(Table1[[#This Row],[열2]])</f>
        <v>4</v>
      </c>
    </row>
    <row r="48" spans="1:8" x14ac:dyDescent="0.45">
      <c r="A48" t="s">
        <v>74</v>
      </c>
      <c r="B48" t="s">
        <v>75</v>
      </c>
      <c r="C48" t="s">
        <v>7</v>
      </c>
      <c r="D48" t="s">
        <v>7</v>
      </c>
      <c r="E48" t="s">
        <v>8</v>
      </c>
      <c r="F48">
        <f>LEN(Table1[[#This Row],[T1]])</f>
        <v>5</v>
      </c>
      <c r="G48" t="str">
        <f>TRIM(Table1[[#This Row],[T1]])</f>
        <v>제 13</v>
      </c>
      <c r="H48">
        <f>LEN(Table1[[#This Row],[열2]])</f>
        <v>4</v>
      </c>
    </row>
    <row r="49" spans="1:8" x14ac:dyDescent="0.45">
      <c r="A49" t="s">
        <v>72</v>
      </c>
      <c r="B49" t="s">
        <v>73</v>
      </c>
      <c r="C49" t="s">
        <v>7</v>
      </c>
      <c r="D49" t="s">
        <v>7</v>
      </c>
      <c r="E49" t="s">
        <v>8</v>
      </c>
      <c r="F49">
        <f>LEN(Table1[[#This Row],[T1]])</f>
        <v>5</v>
      </c>
      <c r="G49" t="str">
        <f>TRIM(Table1[[#This Row],[T1]])</f>
        <v>제 12</v>
      </c>
      <c r="H49">
        <f>LEN(Table1[[#This Row],[열2]])</f>
        <v>4</v>
      </c>
    </row>
    <row r="50" spans="1:8" x14ac:dyDescent="0.45">
      <c r="A50" t="s">
        <v>70</v>
      </c>
      <c r="B50" t="s">
        <v>71</v>
      </c>
      <c r="C50" t="s">
        <v>7</v>
      </c>
      <c r="D50" t="s">
        <v>7</v>
      </c>
      <c r="E50" t="s">
        <v>8</v>
      </c>
      <c r="F50">
        <f>LEN(Table1[[#This Row],[T1]])</f>
        <v>5</v>
      </c>
      <c r="G50" t="str">
        <f>TRIM(Table1[[#This Row],[T1]])</f>
        <v>제 11</v>
      </c>
      <c r="H50">
        <f>LEN(Table1[[#This Row],[열2]])</f>
        <v>4</v>
      </c>
    </row>
    <row r="51" spans="1:8" x14ac:dyDescent="0.45">
      <c r="A51" t="s">
        <v>68</v>
      </c>
      <c r="B51" t="s">
        <v>69</v>
      </c>
      <c r="C51" t="s">
        <v>7</v>
      </c>
      <c r="D51" t="s">
        <v>7</v>
      </c>
      <c r="E51" t="s">
        <v>8</v>
      </c>
      <c r="F51">
        <f>LEN(Table1[[#This Row],[T1]])</f>
        <v>5</v>
      </c>
      <c r="G51" t="str">
        <f>TRIM(Table1[[#This Row],[T1]])</f>
        <v>제 10</v>
      </c>
      <c r="H51">
        <f>LEN(Table1[[#This Row],[열2]])</f>
        <v>4</v>
      </c>
    </row>
    <row r="52" spans="1:8" x14ac:dyDescent="0.45">
      <c r="A52" t="s">
        <v>100</v>
      </c>
      <c r="B52" t="s">
        <v>211</v>
      </c>
      <c r="C52" t="s">
        <v>7</v>
      </c>
      <c r="D52" t="s">
        <v>7</v>
      </c>
      <c r="E52" t="s">
        <v>8</v>
      </c>
      <c r="F52">
        <f>LEN(Table1[[#This Row],[T1]])</f>
        <v>4</v>
      </c>
      <c r="G52" t="str">
        <f>TRIM(Table1[[#This Row],[T1]])</f>
        <v>실시 예</v>
      </c>
      <c r="H52">
        <f>LEN(Table1[[#This Row],[열2]])</f>
        <v>4</v>
      </c>
    </row>
    <row r="53" spans="1:8" x14ac:dyDescent="0.45">
      <c r="A53" t="s">
        <v>99</v>
      </c>
      <c r="B53" t="s">
        <v>91</v>
      </c>
      <c r="C53" t="s">
        <v>7</v>
      </c>
      <c r="D53" t="s">
        <v>7</v>
      </c>
      <c r="E53" t="s">
        <v>8</v>
      </c>
      <c r="F53">
        <f>LEN(Table1[[#This Row],[T1]])</f>
        <v>4</v>
      </c>
      <c r="G53" t="str">
        <f>TRIM(Table1[[#This Row],[T1]])</f>
        <v>본 발명</v>
      </c>
      <c r="H53">
        <f>LEN(Table1[[#This Row],[열2]])</f>
        <v>4</v>
      </c>
    </row>
    <row r="54" spans="1:8" x14ac:dyDescent="0.45">
      <c r="A54" t="s">
        <v>101</v>
      </c>
      <c r="B54" t="s">
        <v>225</v>
      </c>
      <c r="C54" t="s">
        <v>214</v>
      </c>
      <c r="D54" t="s">
        <v>222</v>
      </c>
      <c r="E54" t="s">
        <v>8</v>
      </c>
      <c r="F54">
        <f>LEN(Table1[[#This Row],[T1]])</f>
        <v>4</v>
      </c>
      <c r="G54" t="str">
        <f>TRIM(Table1[[#This Row],[T1]])</f>
        <v>변형 예</v>
      </c>
      <c r="H54">
        <f>LEN(Table1[[#This Row],[열2]])</f>
        <v>4</v>
      </c>
    </row>
    <row r="55" spans="1:8" x14ac:dyDescent="0.45">
      <c r="A55" t="s">
        <v>66</v>
      </c>
      <c r="B55" t="s">
        <v>67</v>
      </c>
      <c r="C55" t="s">
        <v>7</v>
      </c>
      <c r="D55" t="s">
        <v>7</v>
      </c>
      <c r="E55" t="s">
        <v>8</v>
      </c>
      <c r="F55">
        <f>LEN(Table1[[#This Row],[T1]])</f>
        <v>5</v>
      </c>
      <c r="G55" t="str">
        <f>TRIM(Table1[[#This Row],[T1]])</f>
        <v>및/또는</v>
      </c>
      <c r="H55">
        <f>LEN(Table1[[#This Row],[열2]])</f>
        <v>4</v>
      </c>
    </row>
    <row r="56" spans="1:8" x14ac:dyDescent="0.45">
      <c r="A56" t="s">
        <v>78</v>
      </c>
      <c r="B56" t="s">
        <v>79</v>
      </c>
      <c r="C56" t="s">
        <v>214</v>
      </c>
      <c r="D56" t="s">
        <v>223</v>
      </c>
      <c r="E56" t="s">
        <v>8</v>
      </c>
      <c r="F56">
        <f>LEN(Table1[[#This Row],[T1]])</f>
        <v>5</v>
      </c>
      <c r="G56" t="str">
        <f>TRIM(Table1[[#This Row],[T1]])</f>
        <v>개략적인</v>
      </c>
      <c r="H56">
        <f>LEN(Table1[[#This Row],[열2]])</f>
        <v>4</v>
      </c>
    </row>
    <row r="57" spans="1:8" x14ac:dyDescent="0.45">
      <c r="A57" t="s">
        <v>60</v>
      </c>
      <c r="B57" t="s">
        <v>61</v>
      </c>
      <c r="C57" t="s">
        <v>7</v>
      </c>
      <c r="D57" t="s">
        <v>7</v>
      </c>
      <c r="E57" t="s">
        <v>8</v>
      </c>
      <c r="F57">
        <f>LEN(Table1[[#This Row],[T1]])</f>
        <v>5</v>
      </c>
      <c r="G57" t="str">
        <f>TRIM(Table1[[#This Row],[T1]])</f>
        <v>(이하,</v>
      </c>
      <c r="H57">
        <f>LEN(Table1[[#This Row],[열2]])</f>
        <v>4</v>
      </c>
    </row>
    <row r="58" spans="1:8" x14ac:dyDescent="0.45">
      <c r="A58" t="s">
        <v>113</v>
      </c>
      <c r="B58" t="s">
        <v>203</v>
      </c>
      <c r="C58" t="s">
        <v>7</v>
      </c>
      <c r="D58" t="s">
        <v>7</v>
      </c>
      <c r="E58" t="s">
        <v>8</v>
      </c>
      <c r="F58">
        <f>LEN(Table1[[#This Row],[T1]])</f>
        <v>4</v>
      </c>
      <c r="G58" t="str">
        <f>TRIM(Table1[[#This Row],[T1]])</f>
        <v>(예컨데</v>
      </c>
      <c r="H58">
        <f>LEN(Table1[[#This Row],[열2]])</f>
        <v>4</v>
      </c>
    </row>
    <row r="59" spans="1:8" x14ac:dyDescent="0.45">
      <c r="A59" t="s">
        <v>106</v>
      </c>
      <c r="B59" t="s">
        <v>34</v>
      </c>
      <c r="C59" t="s">
        <v>7</v>
      </c>
      <c r="D59" t="s">
        <v>7</v>
      </c>
      <c r="E59" t="s">
        <v>8</v>
      </c>
      <c r="F59">
        <f>LEN(Table1[[#This Row],[T1]])</f>
        <v>4</v>
      </c>
      <c r="G59" t="str">
        <f>TRIM(Table1[[#This Row],[T1]])</f>
        <v>(예컨대</v>
      </c>
      <c r="H59">
        <f>LEN(Table1[[#This Row],[열2]])</f>
        <v>4</v>
      </c>
    </row>
    <row r="60" spans="1:8" x14ac:dyDescent="0.45">
      <c r="A60" t="s">
        <v>192</v>
      </c>
      <c r="B60" t="s">
        <v>204</v>
      </c>
      <c r="C60" t="s">
        <v>11</v>
      </c>
      <c r="D60" t="s">
        <v>7</v>
      </c>
      <c r="E60" t="s">
        <v>8</v>
      </c>
      <c r="F60">
        <f>LEN(Table1[[#This Row],[T1]])</f>
        <v>5</v>
      </c>
      <c r="G60" t="str">
        <f>TRIM(Table1[[#This Row],[T1]])</f>
        <v>(ex,</v>
      </c>
      <c r="H60">
        <f>LEN(Table1[[#This Row],[열2]])</f>
        <v>4</v>
      </c>
    </row>
    <row r="61" spans="1:8" x14ac:dyDescent="0.45">
      <c r="A61" t="s">
        <v>193</v>
      </c>
      <c r="B61" t="s">
        <v>148</v>
      </c>
      <c r="C61" t="s">
        <v>7</v>
      </c>
      <c r="D61" t="s">
        <v>7</v>
      </c>
      <c r="E61" t="s">
        <v>8</v>
      </c>
      <c r="F61">
        <f>LEN(Table1[[#This Row],[T1]])</f>
        <v>3</v>
      </c>
      <c r="G61" t="str">
        <f>TRIM(Table1[[#This Row],[T1]])</f>
        <v>흐름도</v>
      </c>
      <c r="H61">
        <f>LEN(Table1[[#This Row],[열2]])</f>
        <v>3</v>
      </c>
    </row>
    <row r="62" spans="1:8" x14ac:dyDescent="0.45">
      <c r="A62" t="s">
        <v>151</v>
      </c>
      <c r="B62" t="s">
        <v>152</v>
      </c>
      <c r="C62" t="s">
        <v>7</v>
      </c>
      <c r="D62" t="s">
        <v>7</v>
      </c>
      <c r="E62" t="s">
        <v>8</v>
      </c>
      <c r="F62">
        <f>LEN(Table1[[#This Row],[T1]])</f>
        <v>3</v>
      </c>
      <c r="G62" t="str">
        <f>TRIM(Table1[[#This Row],[T1]])</f>
        <v>회로도</v>
      </c>
      <c r="H62">
        <f>LEN(Table1[[#This Row],[열2]])</f>
        <v>3</v>
      </c>
    </row>
    <row r="63" spans="1:8" x14ac:dyDescent="0.45">
      <c r="A63" t="s">
        <v>149</v>
      </c>
      <c r="B63" t="s">
        <v>150</v>
      </c>
      <c r="C63" t="s">
        <v>7</v>
      </c>
      <c r="D63" t="s">
        <v>7</v>
      </c>
      <c r="E63" t="s">
        <v>8</v>
      </c>
      <c r="F63">
        <f>LEN(Table1[[#This Row],[T1]])</f>
        <v>3</v>
      </c>
      <c r="G63" t="str">
        <f>TRIM(Table1[[#This Row],[T1]])</f>
        <v>확대도</v>
      </c>
      <c r="H63">
        <f>LEN(Table1[[#This Row],[열2]])</f>
        <v>3</v>
      </c>
    </row>
    <row r="64" spans="1:8" x14ac:dyDescent="0.45">
      <c r="A64" t="s">
        <v>145</v>
      </c>
      <c r="B64" t="s">
        <v>146</v>
      </c>
      <c r="C64" t="s">
        <v>7</v>
      </c>
      <c r="D64" t="s">
        <v>7</v>
      </c>
      <c r="E64" t="s">
        <v>8</v>
      </c>
      <c r="F64">
        <f>LEN(Table1[[#This Row],[T1]])</f>
        <v>3</v>
      </c>
      <c r="G64" t="str">
        <f>TRIM(Table1[[#This Row],[T1]])</f>
        <v>평면도</v>
      </c>
      <c r="H64">
        <f>LEN(Table1[[#This Row],[열2]])</f>
        <v>3</v>
      </c>
    </row>
    <row r="65" spans="1:8" x14ac:dyDescent="0.45">
      <c r="A65" t="s">
        <v>143</v>
      </c>
      <c r="B65" t="s">
        <v>144</v>
      </c>
      <c r="C65" t="s">
        <v>214</v>
      </c>
      <c r="D65" t="s">
        <v>215</v>
      </c>
      <c r="E65" t="s">
        <v>8</v>
      </c>
      <c r="F65">
        <f>LEN(Table1[[#This Row],[T1]])</f>
        <v>3</v>
      </c>
      <c r="G65" t="str">
        <f>TRIM(Table1[[#This Row],[T1]])</f>
        <v>측면도</v>
      </c>
      <c r="H65">
        <f>LEN(Table1[[#This Row],[열2]])</f>
        <v>3</v>
      </c>
    </row>
    <row r="66" spans="1:8" x14ac:dyDescent="0.45">
      <c r="A66" t="s">
        <v>110</v>
      </c>
      <c r="B66" t="s">
        <v>65</v>
      </c>
      <c r="C66" t="s">
        <v>7</v>
      </c>
      <c r="D66" t="s">
        <v>7</v>
      </c>
      <c r="E66" t="s">
        <v>8</v>
      </c>
      <c r="F66">
        <f>LEN(Table1[[#This Row],[T1]])</f>
        <v>4</v>
      </c>
      <c r="G66" t="str">
        <f>TRIM(Table1[[#This Row],[T1]])</f>
        <v>제20</v>
      </c>
      <c r="H66">
        <f>LEN(Table1[[#This Row],[열2]])</f>
        <v>3</v>
      </c>
    </row>
    <row r="67" spans="1:8" x14ac:dyDescent="0.45">
      <c r="A67" t="s">
        <v>109</v>
      </c>
      <c r="B67" t="s">
        <v>63</v>
      </c>
      <c r="C67" t="s">
        <v>7</v>
      </c>
      <c r="D67" t="s">
        <v>7</v>
      </c>
      <c r="E67" t="s">
        <v>8</v>
      </c>
      <c r="F67">
        <f>LEN(Table1[[#This Row],[T1]])</f>
        <v>4</v>
      </c>
      <c r="G67" t="str">
        <f>TRIM(Table1[[#This Row],[T1]])</f>
        <v>제19</v>
      </c>
      <c r="H67">
        <f>LEN(Table1[[#This Row],[열2]])</f>
        <v>3</v>
      </c>
    </row>
    <row r="68" spans="1:8" x14ac:dyDescent="0.45">
      <c r="A68" t="s">
        <v>108</v>
      </c>
      <c r="B68" t="s">
        <v>59</v>
      </c>
      <c r="C68" t="s">
        <v>7</v>
      </c>
      <c r="D68" t="s">
        <v>7</v>
      </c>
      <c r="E68" t="s">
        <v>8</v>
      </c>
      <c r="F68">
        <f>LEN(Table1[[#This Row],[T1]])</f>
        <v>4</v>
      </c>
      <c r="G68" t="str">
        <f>TRIM(Table1[[#This Row],[T1]])</f>
        <v>제18</v>
      </c>
      <c r="H68">
        <f>LEN(Table1[[#This Row],[열2]])</f>
        <v>3</v>
      </c>
    </row>
    <row r="69" spans="1:8" x14ac:dyDescent="0.45">
      <c r="A69" t="s">
        <v>107</v>
      </c>
      <c r="B69" t="s">
        <v>57</v>
      </c>
      <c r="C69" t="s">
        <v>7</v>
      </c>
      <c r="D69" t="s">
        <v>7</v>
      </c>
      <c r="E69" t="s">
        <v>8</v>
      </c>
      <c r="F69">
        <f>LEN(Table1[[#This Row],[T1]])</f>
        <v>4</v>
      </c>
      <c r="G69" t="str">
        <f>TRIM(Table1[[#This Row],[T1]])</f>
        <v>제17</v>
      </c>
      <c r="H69">
        <f>LEN(Table1[[#This Row],[열2]])</f>
        <v>3</v>
      </c>
    </row>
    <row r="70" spans="1:8" x14ac:dyDescent="0.45">
      <c r="A70" t="s">
        <v>96</v>
      </c>
      <c r="B70" t="s">
        <v>55</v>
      </c>
      <c r="C70" t="s">
        <v>7</v>
      </c>
      <c r="D70" t="s">
        <v>7</v>
      </c>
      <c r="E70" t="s">
        <v>8</v>
      </c>
      <c r="F70">
        <f>LEN(Table1[[#This Row],[T1]])</f>
        <v>4</v>
      </c>
      <c r="G70" t="str">
        <f>TRIM(Table1[[#This Row],[T1]])</f>
        <v>제16</v>
      </c>
      <c r="H70">
        <f>LEN(Table1[[#This Row],[열2]])</f>
        <v>3</v>
      </c>
    </row>
    <row r="71" spans="1:8" x14ac:dyDescent="0.45">
      <c r="A71" t="s">
        <v>95</v>
      </c>
      <c r="B71" t="s">
        <v>53</v>
      </c>
      <c r="C71" t="s">
        <v>7</v>
      </c>
      <c r="D71" t="s">
        <v>7</v>
      </c>
      <c r="E71" t="s">
        <v>8</v>
      </c>
      <c r="F71">
        <f>LEN(Table1[[#This Row],[T1]])</f>
        <v>4</v>
      </c>
      <c r="G71" t="str">
        <f>TRIM(Table1[[#This Row],[T1]])</f>
        <v>제15</v>
      </c>
      <c r="H71">
        <f>LEN(Table1[[#This Row],[열2]])</f>
        <v>3</v>
      </c>
    </row>
    <row r="72" spans="1:8" x14ac:dyDescent="0.45">
      <c r="A72" t="s">
        <v>94</v>
      </c>
      <c r="B72" t="s">
        <v>77</v>
      </c>
      <c r="C72" t="s">
        <v>7</v>
      </c>
      <c r="D72" t="s">
        <v>7</v>
      </c>
      <c r="E72" t="s">
        <v>8</v>
      </c>
      <c r="F72">
        <f>LEN(Table1[[#This Row],[T1]])</f>
        <v>4</v>
      </c>
      <c r="G72" t="str">
        <f>TRIM(Table1[[#This Row],[T1]])</f>
        <v>제14</v>
      </c>
      <c r="H72">
        <f>LEN(Table1[[#This Row],[열2]])</f>
        <v>3</v>
      </c>
    </row>
    <row r="73" spans="1:8" x14ac:dyDescent="0.45">
      <c r="A73" t="s">
        <v>93</v>
      </c>
      <c r="B73" t="s">
        <v>75</v>
      </c>
      <c r="C73" t="s">
        <v>7</v>
      </c>
      <c r="D73" t="s">
        <v>7</v>
      </c>
      <c r="E73" t="s">
        <v>8</v>
      </c>
      <c r="F73">
        <f>LEN(Table1[[#This Row],[T1]])</f>
        <v>4</v>
      </c>
      <c r="G73" t="str">
        <f>TRIM(Table1[[#This Row],[T1]])</f>
        <v>제13</v>
      </c>
      <c r="H73">
        <f>LEN(Table1[[#This Row],[열2]])</f>
        <v>3</v>
      </c>
    </row>
    <row r="74" spans="1:8" x14ac:dyDescent="0.45">
      <c r="A74" t="s">
        <v>134</v>
      </c>
      <c r="B74" t="s">
        <v>73</v>
      </c>
      <c r="C74" t="s">
        <v>7</v>
      </c>
      <c r="D74" t="s">
        <v>7</v>
      </c>
      <c r="E74" t="s">
        <v>8</v>
      </c>
      <c r="F74">
        <f>LEN(Table1[[#This Row],[T1]])</f>
        <v>4</v>
      </c>
      <c r="G74" t="str">
        <f>TRIM(Table1[[#This Row],[T1]])</f>
        <v>제12</v>
      </c>
      <c r="H74">
        <f>LEN(Table1[[#This Row],[열2]])</f>
        <v>3</v>
      </c>
    </row>
    <row r="75" spans="1:8" x14ac:dyDescent="0.45">
      <c r="A75" t="s">
        <v>133</v>
      </c>
      <c r="B75" t="s">
        <v>71</v>
      </c>
      <c r="C75" t="s">
        <v>7</v>
      </c>
      <c r="D75" t="s">
        <v>7</v>
      </c>
      <c r="E75" t="s">
        <v>8</v>
      </c>
      <c r="F75">
        <f>LEN(Table1[[#This Row],[T1]])</f>
        <v>4</v>
      </c>
      <c r="G75" t="str">
        <f>TRIM(Table1[[#This Row],[T1]])</f>
        <v>제11</v>
      </c>
      <c r="H75">
        <f>LEN(Table1[[#This Row],[열2]])</f>
        <v>3</v>
      </c>
    </row>
    <row r="76" spans="1:8" x14ac:dyDescent="0.45">
      <c r="A76" t="s">
        <v>132</v>
      </c>
      <c r="B76" t="s">
        <v>69</v>
      </c>
      <c r="C76" t="s">
        <v>7</v>
      </c>
      <c r="D76" t="s">
        <v>7</v>
      </c>
      <c r="E76" t="s">
        <v>8</v>
      </c>
      <c r="F76">
        <f>LEN(Table1[[#This Row],[T1]])</f>
        <v>4</v>
      </c>
      <c r="G76" t="str">
        <f>TRIM(Table1[[#This Row],[T1]])</f>
        <v>제10</v>
      </c>
      <c r="H76">
        <f>LEN(Table1[[#This Row],[열2]])</f>
        <v>3</v>
      </c>
    </row>
    <row r="77" spans="1:8" x14ac:dyDescent="0.45">
      <c r="A77" t="s">
        <v>130</v>
      </c>
      <c r="B77" t="s">
        <v>131</v>
      </c>
      <c r="C77" t="s">
        <v>7</v>
      </c>
      <c r="D77" t="s">
        <v>7</v>
      </c>
      <c r="E77" t="s">
        <v>8</v>
      </c>
      <c r="F77">
        <f>LEN(Table1[[#This Row],[T1]])</f>
        <v>4</v>
      </c>
      <c r="G77" t="str">
        <f>TRIM(Table1[[#This Row],[T1]])</f>
        <v>제 9</v>
      </c>
      <c r="H77">
        <f>LEN(Table1[[#This Row],[열2]])</f>
        <v>3</v>
      </c>
    </row>
    <row r="78" spans="1:8" x14ac:dyDescent="0.45">
      <c r="A78" t="s">
        <v>118</v>
      </c>
      <c r="B78" t="s">
        <v>119</v>
      </c>
      <c r="C78" t="s">
        <v>7</v>
      </c>
      <c r="D78" t="s">
        <v>7</v>
      </c>
      <c r="E78" t="s">
        <v>8</v>
      </c>
      <c r="F78">
        <f>LEN(Table1[[#This Row],[T1]])</f>
        <v>4</v>
      </c>
      <c r="G78" t="str">
        <f>TRIM(Table1[[#This Row],[T1]])</f>
        <v>제 8</v>
      </c>
      <c r="H78">
        <f>LEN(Table1[[#This Row],[열2]])</f>
        <v>3</v>
      </c>
    </row>
    <row r="79" spans="1:8" x14ac:dyDescent="0.45">
      <c r="A79" t="s">
        <v>116</v>
      </c>
      <c r="B79" t="s">
        <v>117</v>
      </c>
      <c r="C79" t="s">
        <v>7</v>
      </c>
      <c r="D79" t="s">
        <v>7</v>
      </c>
      <c r="E79" t="s">
        <v>8</v>
      </c>
      <c r="F79">
        <f>LEN(Table1[[#This Row],[T1]])</f>
        <v>4</v>
      </c>
      <c r="G79" t="str">
        <f>TRIM(Table1[[#This Row],[T1]])</f>
        <v>제 7</v>
      </c>
      <c r="H79">
        <f>LEN(Table1[[#This Row],[열2]])</f>
        <v>3</v>
      </c>
    </row>
    <row r="80" spans="1:8" x14ac:dyDescent="0.45">
      <c r="A80" t="s">
        <v>114</v>
      </c>
      <c r="B80" t="s">
        <v>115</v>
      </c>
      <c r="C80" t="s">
        <v>7</v>
      </c>
      <c r="D80" t="s">
        <v>7</v>
      </c>
      <c r="E80" t="s">
        <v>8</v>
      </c>
      <c r="F80">
        <f>LEN(Table1[[#This Row],[T1]])</f>
        <v>4</v>
      </c>
      <c r="G80" t="str">
        <f>TRIM(Table1[[#This Row],[T1]])</f>
        <v>제 6</v>
      </c>
      <c r="H80">
        <f>LEN(Table1[[#This Row],[열2]])</f>
        <v>3</v>
      </c>
    </row>
    <row r="81" spans="1:8" x14ac:dyDescent="0.45">
      <c r="A81" t="s">
        <v>128</v>
      </c>
      <c r="B81" t="s">
        <v>129</v>
      </c>
      <c r="C81" t="s">
        <v>7</v>
      </c>
      <c r="D81" t="s">
        <v>7</v>
      </c>
      <c r="E81" t="s">
        <v>8</v>
      </c>
      <c r="F81">
        <f>LEN(Table1[[#This Row],[T1]])</f>
        <v>4</v>
      </c>
      <c r="G81" t="str">
        <f>TRIM(Table1[[#This Row],[T1]])</f>
        <v>제 5</v>
      </c>
      <c r="H81">
        <f>LEN(Table1[[#This Row],[열2]])</f>
        <v>3</v>
      </c>
    </row>
    <row r="82" spans="1:8" x14ac:dyDescent="0.45">
      <c r="A82" t="s">
        <v>126</v>
      </c>
      <c r="B82" t="s">
        <v>127</v>
      </c>
      <c r="C82" t="s">
        <v>7</v>
      </c>
      <c r="D82" t="s">
        <v>7</v>
      </c>
      <c r="E82" t="s">
        <v>8</v>
      </c>
      <c r="F82">
        <f>LEN(Table1[[#This Row],[T1]])</f>
        <v>4</v>
      </c>
      <c r="G82" t="str">
        <f>TRIM(Table1[[#This Row],[T1]])</f>
        <v>제 4</v>
      </c>
      <c r="H82">
        <f>LEN(Table1[[#This Row],[열2]])</f>
        <v>3</v>
      </c>
    </row>
    <row r="83" spans="1:8" x14ac:dyDescent="0.45">
      <c r="A83" t="s">
        <v>124</v>
      </c>
      <c r="B83" t="s">
        <v>125</v>
      </c>
      <c r="C83" t="s">
        <v>7</v>
      </c>
      <c r="D83" t="s">
        <v>7</v>
      </c>
      <c r="E83" t="s">
        <v>8</v>
      </c>
      <c r="F83">
        <f>LEN(Table1[[#This Row],[T1]])</f>
        <v>4</v>
      </c>
      <c r="G83" t="str">
        <f>TRIM(Table1[[#This Row],[T1]])</f>
        <v>제 3</v>
      </c>
      <c r="H83">
        <f>LEN(Table1[[#This Row],[열2]])</f>
        <v>3</v>
      </c>
    </row>
    <row r="84" spans="1:8" x14ac:dyDescent="0.45">
      <c r="A84" t="s">
        <v>122</v>
      </c>
      <c r="B84" t="s">
        <v>123</v>
      </c>
      <c r="C84" t="s">
        <v>7</v>
      </c>
      <c r="D84" t="s">
        <v>7</v>
      </c>
      <c r="E84" t="s">
        <v>8</v>
      </c>
      <c r="F84">
        <f>LEN(Table1[[#This Row],[T1]])</f>
        <v>4</v>
      </c>
      <c r="G84" t="str">
        <f>TRIM(Table1[[#This Row],[T1]])</f>
        <v>제 2</v>
      </c>
      <c r="H84">
        <f>LEN(Table1[[#This Row],[열2]])</f>
        <v>3</v>
      </c>
    </row>
    <row r="85" spans="1:8" x14ac:dyDescent="0.45">
      <c r="A85" t="s">
        <v>120</v>
      </c>
      <c r="B85" t="s">
        <v>121</v>
      </c>
      <c r="C85" t="s">
        <v>7</v>
      </c>
      <c r="D85" t="s">
        <v>7</v>
      </c>
      <c r="E85" t="s">
        <v>8</v>
      </c>
      <c r="F85">
        <f>LEN(Table1[[#This Row],[T1]])</f>
        <v>4</v>
      </c>
      <c r="G85" t="str">
        <f>TRIM(Table1[[#This Row],[T1]])</f>
        <v>제 1</v>
      </c>
      <c r="H85">
        <f>LEN(Table1[[#This Row],[열2]])</f>
        <v>3</v>
      </c>
    </row>
    <row r="86" spans="1:8" x14ac:dyDescent="0.45">
      <c r="A86" t="s">
        <v>142</v>
      </c>
      <c r="B86" t="s">
        <v>83</v>
      </c>
      <c r="C86" t="s">
        <v>7</v>
      </c>
      <c r="D86" t="s">
        <v>7</v>
      </c>
      <c r="E86" t="s">
        <v>8</v>
      </c>
      <c r="F86">
        <f>LEN(Table1[[#This Row],[T1]])</f>
        <v>3</v>
      </c>
      <c r="G86" t="str">
        <f>TRIM(Table1[[#This Row],[T1]])</f>
        <v>예컨데</v>
      </c>
      <c r="H86">
        <f>LEN(Table1[[#This Row],[열2]])</f>
        <v>3</v>
      </c>
    </row>
    <row r="87" spans="1:8" x14ac:dyDescent="0.45">
      <c r="A87" t="s">
        <v>163</v>
      </c>
      <c r="B87" t="s">
        <v>164</v>
      </c>
      <c r="C87" t="s">
        <v>7</v>
      </c>
      <c r="D87" t="s">
        <v>7</v>
      </c>
      <c r="E87" t="s">
        <v>8</v>
      </c>
      <c r="F87">
        <f>LEN(Table1[[#This Row],[T1]])</f>
        <v>3</v>
      </c>
      <c r="G87" t="str">
        <f>TRIM(Table1[[#This Row],[T1]])</f>
        <v>실시예</v>
      </c>
      <c r="H87">
        <f>LEN(Table1[[#This Row],[열2]])</f>
        <v>3</v>
      </c>
    </row>
    <row r="88" spans="1:8" x14ac:dyDescent="0.45">
      <c r="A88" t="s">
        <v>147</v>
      </c>
      <c r="B88" t="s">
        <v>148</v>
      </c>
      <c r="C88" t="s">
        <v>7</v>
      </c>
      <c r="D88" t="s">
        <v>7</v>
      </c>
      <c r="E88" t="s">
        <v>8</v>
      </c>
      <c r="F88">
        <f>LEN(Table1[[#This Row],[T1]])</f>
        <v>3</v>
      </c>
      <c r="G88" t="str">
        <f>TRIM(Table1[[#This Row],[T1]])</f>
        <v>순서도</v>
      </c>
      <c r="H88">
        <f>LEN(Table1[[#This Row],[열2]])</f>
        <v>3</v>
      </c>
    </row>
    <row r="89" spans="1:8" x14ac:dyDescent="0.45">
      <c r="A89" t="s">
        <v>138</v>
      </c>
      <c r="B89" t="s">
        <v>139</v>
      </c>
      <c r="C89" t="s">
        <v>7</v>
      </c>
      <c r="D89" t="s">
        <v>7</v>
      </c>
      <c r="E89" t="s">
        <v>8</v>
      </c>
      <c r="F89">
        <f>LEN(Table1[[#This Row],[T1]])</f>
        <v>3</v>
      </c>
      <c r="G89" t="str">
        <f>TRIM(Table1[[#This Row],[T1]])</f>
        <v>사시도</v>
      </c>
      <c r="H89">
        <f>LEN(Table1[[#This Row],[열2]])</f>
        <v>3</v>
      </c>
    </row>
    <row r="90" spans="1:8" x14ac:dyDescent="0.45">
      <c r="A90" t="s">
        <v>153</v>
      </c>
      <c r="B90" t="s">
        <v>154</v>
      </c>
      <c r="C90" t="s">
        <v>7</v>
      </c>
      <c r="D90" t="s">
        <v>7</v>
      </c>
      <c r="E90" t="s">
        <v>8</v>
      </c>
      <c r="F90">
        <f>LEN(Table1[[#This Row],[T1]])</f>
        <v>3</v>
      </c>
      <c r="G90" t="str">
        <f>TRIM(Table1[[#This Row],[T1]])</f>
        <v>비교예</v>
      </c>
      <c r="H90">
        <f>LEN(Table1[[#This Row],[열2]])</f>
        <v>3</v>
      </c>
    </row>
    <row r="91" spans="1:8" x14ac:dyDescent="0.45">
      <c r="A91" t="s">
        <v>161</v>
      </c>
      <c r="B91" t="s">
        <v>162</v>
      </c>
      <c r="C91" t="s">
        <v>7</v>
      </c>
      <c r="D91" t="s">
        <v>7</v>
      </c>
      <c r="E91" t="s">
        <v>8</v>
      </c>
      <c r="F91">
        <f>LEN(Table1[[#This Row],[T1]])</f>
        <v>3</v>
      </c>
      <c r="G91" t="str">
        <f>TRIM(Table1[[#This Row],[T1]])</f>
        <v>블록도</v>
      </c>
      <c r="H91">
        <f>LEN(Table1[[#This Row],[열2]])</f>
        <v>3</v>
      </c>
    </row>
    <row r="92" spans="1:8" x14ac:dyDescent="0.45">
      <c r="A92" t="s">
        <v>168</v>
      </c>
      <c r="B92" t="s">
        <v>89</v>
      </c>
      <c r="C92" t="s">
        <v>7</v>
      </c>
      <c r="D92" t="s">
        <v>7</v>
      </c>
      <c r="E92" t="s">
        <v>8</v>
      </c>
      <c r="F92">
        <f>LEN(Table1[[#This Row],[T1]])</f>
        <v>3</v>
      </c>
      <c r="G92" t="str">
        <f>TRIM(Table1[[#This Row],[T1]])</f>
        <v>복수의</v>
      </c>
      <c r="H92">
        <f>LEN(Table1[[#This Row],[열2]])</f>
        <v>3</v>
      </c>
    </row>
    <row r="93" spans="1:8" x14ac:dyDescent="0.45">
      <c r="A93" t="s">
        <v>136</v>
      </c>
      <c r="B93" t="s">
        <v>137</v>
      </c>
      <c r="C93" t="s">
        <v>7</v>
      </c>
      <c r="D93" t="s">
        <v>7</v>
      </c>
      <c r="E93" t="s">
        <v>8</v>
      </c>
      <c r="F93">
        <f>LEN(Table1[[#This Row],[T1]])</f>
        <v>3</v>
      </c>
      <c r="G93" t="str">
        <f>TRIM(Table1[[#This Row],[T1]])</f>
        <v>단면도</v>
      </c>
      <c r="H93">
        <f>LEN(Table1[[#This Row],[열2]])</f>
        <v>3</v>
      </c>
    </row>
    <row r="94" spans="1:8" x14ac:dyDescent="0.45">
      <c r="A94" t="s">
        <v>102</v>
      </c>
      <c r="B94" t="s">
        <v>103</v>
      </c>
      <c r="C94" t="s">
        <v>219</v>
      </c>
      <c r="D94" t="s">
        <v>214</v>
      </c>
      <c r="E94" t="s">
        <v>8</v>
      </c>
      <c r="F94">
        <f>LEN(Table1[[#This Row],[T1]])</f>
        <v>4</v>
      </c>
      <c r="G94" t="str">
        <f>TRIM(Table1[[#This Row],[T1]])</f>
        <v>다수의</v>
      </c>
      <c r="H94">
        <f>LEN(Table1[[#This Row],[열2]])</f>
        <v>3</v>
      </c>
    </row>
    <row r="95" spans="1:8" x14ac:dyDescent="0.45">
      <c r="A95" t="s">
        <v>111</v>
      </c>
      <c r="B95" t="s">
        <v>112</v>
      </c>
      <c r="C95" t="s">
        <v>7</v>
      </c>
      <c r="D95" t="s">
        <v>7</v>
      </c>
      <c r="E95" t="s">
        <v>8</v>
      </c>
      <c r="F95">
        <f>LEN(Table1[[#This Row],[T1]])</f>
        <v>4</v>
      </c>
      <c r="G95" t="str">
        <f>TRIM(Table1[[#This Row],[T1]])</f>
        <v>그리고</v>
      </c>
      <c r="H95">
        <f>LEN(Table1[[#This Row],[열2]])</f>
        <v>3</v>
      </c>
    </row>
    <row r="96" spans="1:8" x14ac:dyDescent="0.45">
      <c r="A96" t="s">
        <v>155</v>
      </c>
      <c r="B96" t="s">
        <v>156</v>
      </c>
      <c r="C96" t="s">
        <v>220</v>
      </c>
      <c r="D96" t="s">
        <v>221</v>
      </c>
      <c r="E96" t="s">
        <v>8</v>
      </c>
      <c r="F96">
        <f>LEN(Table1[[#This Row],[T1]])</f>
        <v>3</v>
      </c>
      <c r="G96" t="str">
        <f>TRIM(Table1[[#This Row],[T1]])</f>
        <v>개략도</v>
      </c>
      <c r="H96">
        <f>LEN(Table1[[#This Row],[열2]])</f>
        <v>3</v>
      </c>
    </row>
    <row r="97" spans="1:8" x14ac:dyDescent="0.45">
      <c r="A97" t="s">
        <v>157</v>
      </c>
      <c r="B97" t="s">
        <v>158</v>
      </c>
      <c r="C97" t="s">
        <v>214</v>
      </c>
      <c r="D97" t="s">
        <v>214</v>
      </c>
      <c r="E97" t="s">
        <v>8</v>
      </c>
      <c r="F97">
        <f>LEN(Table1[[#This Row],[T1]])</f>
        <v>3</v>
      </c>
      <c r="G97" t="str">
        <f>TRIM(Table1[[#This Row],[T1]])</f>
        <v>; 및</v>
      </c>
      <c r="H97">
        <f>LEN(Table1[[#This Row],[열2]])</f>
        <v>3</v>
      </c>
    </row>
    <row r="98" spans="1:8" x14ac:dyDescent="0.45">
      <c r="A98" t="s">
        <v>35</v>
      </c>
      <c r="B98" t="s">
        <v>36</v>
      </c>
      <c r="C98" t="s">
        <v>7</v>
      </c>
      <c r="D98" t="s">
        <v>7</v>
      </c>
      <c r="E98" t="s">
        <v>8</v>
      </c>
      <c r="F98">
        <f>LEN(Table1[[#This Row],[T1]])</f>
        <v>4</v>
      </c>
      <c r="G98" t="str">
        <f>TRIM(Table1[[#This Row],[T1]])</f>
        <v>(예:</v>
      </c>
      <c r="H98">
        <f>LEN(Table1[[#This Row],[열2]])</f>
        <v>3</v>
      </c>
    </row>
    <row r="99" spans="1:8" x14ac:dyDescent="0.45">
      <c r="A99" t="s">
        <v>159</v>
      </c>
      <c r="B99" t="s">
        <v>160</v>
      </c>
      <c r="C99" t="s">
        <v>214</v>
      </c>
      <c r="D99" t="s">
        <v>221</v>
      </c>
      <c r="E99" t="s">
        <v>8</v>
      </c>
      <c r="F99">
        <f>LEN(Table1[[#This Row],[T1]])</f>
        <v>3</v>
      </c>
      <c r="G99" t="str">
        <f>TRIM(Table1[[#This Row],[T1]])</f>
        <v>후속</v>
      </c>
      <c r="H99">
        <f>LEN(Table1[[#This Row],[열2]])</f>
        <v>2</v>
      </c>
    </row>
    <row r="100" spans="1:8" x14ac:dyDescent="0.45">
      <c r="A100" t="s">
        <v>104</v>
      </c>
      <c r="B100" t="s">
        <v>105</v>
      </c>
      <c r="C100" t="s">
        <v>7</v>
      </c>
      <c r="D100" t="s">
        <v>7</v>
      </c>
      <c r="E100" t="s">
        <v>8</v>
      </c>
      <c r="F100">
        <f>LEN(Table1[[#This Row],[T1]])</f>
        <v>4</v>
      </c>
      <c r="G100" t="str">
        <f>TRIM(Table1[[#This Row],[T1]])</f>
        <v>혹은</v>
      </c>
      <c r="H100">
        <f>LEN(Table1[[#This Row],[열2]])</f>
        <v>2</v>
      </c>
    </row>
    <row r="101" spans="1:8" x14ac:dyDescent="0.45">
      <c r="A101" t="s">
        <v>140</v>
      </c>
      <c r="B101" t="s">
        <v>141</v>
      </c>
      <c r="C101" t="s">
        <v>11</v>
      </c>
      <c r="D101" t="s">
        <v>7</v>
      </c>
      <c r="E101" t="s">
        <v>8</v>
      </c>
      <c r="F101">
        <f>LEN(Table1[[#This Row],[T1]])</f>
        <v>3</v>
      </c>
      <c r="G101" t="str">
        <f>TRIM(Table1[[#This Row],[T1]])</f>
        <v>즉,</v>
      </c>
      <c r="H101">
        <f>LEN(Table1[[#This Row],[열2]])</f>
        <v>2</v>
      </c>
    </row>
    <row r="102" spans="1:8" x14ac:dyDescent="0.45">
      <c r="A102" t="s">
        <v>165</v>
      </c>
      <c r="B102" t="s">
        <v>131</v>
      </c>
      <c r="C102" t="s">
        <v>7</v>
      </c>
      <c r="D102" t="s">
        <v>7</v>
      </c>
      <c r="E102" t="s">
        <v>8</v>
      </c>
      <c r="F102">
        <f>LEN(Table1[[#This Row],[T1]])</f>
        <v>3</v>
      </c>
      <c r="G102" t="str">
        <f>TRIM(Table1[[#This Row],[T1]])</f>
        <v>제9</v>
      </c>
      <c r="H102">
        <f>LEN(Table1[[#This Row],[열2]])</f>
        <v>2</v>
      </c>
    </row>
    <row r="103" spans="1:8" x14ac:dyDescent="0.45">
      <c r="A103" t="s">
        <v>135</v>
      </c>
      <c r="B103" t="s">
        <v>119</v>
      </c>
      <c r="C103" t="s">
        <v>7</v>
      </c>
      <c r="D103" t="s">
        <v>7</v>
      </c>
      <c r="E103" t="s">
        <v>8</v>
      </c>
      <c r="F103">
        <f>LEN(Table1[[#This Row],[T1]])</f>
        <v>3</v>
      </c>
      <c r="G103" t="str">
        <f>TRIM(Table1[[#This Row],[T1]])</f>
        <v>제8</v>
      </c>
      <c r="H103">
        <f>LEN(Table1[[#This Row],[열2]])</f>
        <v>2</v>
      </c>
    </row>
    <row r="104" spans="1:8" x14ac:dyDescent="0.45">
      <c r="A104" t="s">
        <v>177</v>
      </c>
      <c r="B104" t="s">
        <v>117</v>
      </c>
      <c r="C104" t="s">
        <v>7</v>
      </c>
      <c r="D104" t="s">
        <v>7</v>
      </c>
      <c r="E104" t="s">
        <v>8</v>
      </c>
      <c r="F104">
        <f>LEN(Table1[[#This Row],[T1]])</f>
        <v>3</v>
      </c>
      <c r="G104" t="str">
        <f>TRIM(Table1[[#This Row],[T1]])</f>
        <v>제7</v>
      </c>
      <c r="H104">
        <f>LEN(Table1[[#This Row],[열2]])</f>
        <v>2</v>
      </c>
    </row>
    <row r="105" spans="1:8" x14ac:dyDescent="0.45">
      <c r="A105" t="s">
        <v>176</v>
      </c>
      <c r="B105" t="s">
        <v>115</v>
      </c>
      <c r="C105" t="s">
        <v>7</v>
      </c>
      <c r="D105" t="s">
        <v>7</v>
      </c>
      <c r="E105" t="s">
        <v>8</v>
      </c>
      <c r="F105">
        <f>LEN(Table1[[#This Row],[T1]])</f>
        <v>3</v>
      </c>
      <c r="G105" t="str">
        <f>TRIM(Table1[[#This Row],[T1]])</f>
        <v>제6</v>
      </c>
      <c r="H105">
        <f>LEN(Table1[[#This Row],[열2]])</f>
        <v>2</v>
      </c>
    </row>
    <row r="106" spans="1:8" x14ac:dyDescent="0.45">
      <c r="A106" t="s">
        <v>175</v>
      </c>
      <c r="B106" t="s">
        <v>129</v>
      </c>
      <c r="C106" t="s">
        <v>7</v>
      </c>
      <c r="D106" t="s">
        <v>7</v>
      </c>
      <c r="E106" t="s">
        <v>8</v>
      </c>
      <c r="F106">
        <f>LEN(Table1[[#This Row],[T1]])</f>
        <v>3</v>
      </c>
      <c r="G106" t="str">
        <f>TRIM(Table1[[#This Row],[T1]])</f>
        <v>제5</v>
      </c>
      <c r="H106">
        <f>LEN(Table1[[#This Row],[열2]])</f>
        <v>2</v>
      </c>
    </row>
    <row r="107" spans="1:8" x14ac:dyDescent="0.45">
      <c r="A107" t="s">
        <v>174</v>
      </c>
      <c r="B107" t="s">
        <v>127</v>
      </c>
      <c r="C107" t="s">
        <v>7</v>
      </c>
      <c r="D107" t="s">
        <v>7</v>
      </c>
      <c r="E107" t="s">
        <v>8</v>
      </c>
      <c r="F107">
        <f>LEN(Table1[[#This Row],[T1]])</f>
        <v>3</v>
      </c>
      <c r="G107" t="str">
        <f>TRIM(Table1[[#This Row],[T1]])</f>
        <v>제4</v>
      </c>
      <c r="H107">
        <f>LEN(Table1[[#This Row],[열2]])</f>
        <v>2</v>
      </c>
    </row>
    <row r="108" spans="1:8" x14ac:dyDescent="0.45">
      <c r="A108" t="s">
        <v>173</v>
      </c>
      <c r="B108" t="s">
        <v>125</v>
      </c>
      <c r="C108" t="s">
        <v>7</v>
      </c>
      <c r="D108" t="s">
        <v>7</v>
      </c>
      <c r="E108" t="s">
        <v>8</v>
      </c>
      <c r="F108">
        <f>LEN(Table1[[#This Row],[T1]])</f>
        <v>3</v>
      </c>
      <c r="G108" t="str">
        <f>TRIM(Table1[[#This Row],[T1]])</f>
        <v>제3</v>
      </c>
      <c r="H108">
        <f>LEN(Table1[[#This Row],[열2]])</f>
        <v>2</v>
      </c>
    </row>
    <row r="109" spans="1:8" x14ac:dyDescent="0.45">
      <c r="A109" t="s">
        <v>172</v>
      </c>
      <c r="B109" t="s">
        <v>123</v>
      </c>
      <c r="C109" t="s">
        <v>7</v>
      </c>
      <c r="D109" t="s">
        <v>7</v>
      </c>
      <c r="E109" t="s">
        <v>8</v>
      </c>
      <c r="F109">
        <f>LEN(Table1[[#This Row],[T1]])</f>
        <v>3</v>
      </c>
      <c r="G109" t="str">
        <f>TRIM(Table1[[#This Row],[T1]])</f>
        <v>제2</v>
      </c>
      <c r="H109">
        <f>LEN(Table1[[#This Row],[열2]])</f>
        <v>2</v>
      </c>
    </row>
    <row r="110" spans="1:8" x14ac:dyDescent="0.45">
      <c r="A110" t="s">
        <v>171</v>
      </c>
      <c r="B110" t="s">
        <v>121</v>
      </c>
      <c r="C110" t="s">
        <v>7</v>
      </c>
      <c r="D110" t="s">
        <v>7</v>
      </c>
      <c r="E110" t="s">
        <v>8</v>
      </c>
      <c r="F110">
        <f>LEN(Table1[[#This Row],[T1]])</f>
        <v>3</v>
      </c>
      <c r="G110" t="str">
        <f>TRIM(Table1[[#This Row],[T1]])</f>
        <v>제1</v>
      </c>
      <c r="H110">
        <f>LEN(Table1[[#This Row],[열2]])</f>
        <v>2</v>
      </c>
    </row>
    <row r="111" spans="1:8" x14ac:dyDescent="0.45">
      <c r="A111" t="s">
        <v>180</v>
      </c>
      <c r="B111" t="s">
        <v>181</v>
      </c>
      <c r="C111" t="s">
        <v>7</v>
      </c>
      <c r="D111" t="s">
        <v>7</v>
      </c>
      <c r="E111" t="s">
        <v>8</v>
      </c>
      <c r="F111">
        <f>LEN(Table1[[#This Row],[T1]])</f>
        <v>2</v>
      </c>
      <c r="G111" t="str">
        <f>TRIM(Table1[[#This Row],[T1]])</f>
        <v>점선</v>
      </c>
      <c r="H111">
        <f>LEN(Table1[[#This Row],[열2]])</f>
        <v>2</v>
      </c>
    </row>
    <row r="112" spans="1:8" ht="14.65" x14ac:dyDescent="0.45">
      <c r="A112" t="s">
        <v>208</v>
      </c>
      <c r="B112" t="s">
        <v>209</v>
      </c>
      <c r="C112" t="s">
        <v>7</v>
      </c>
      <c r="D112" t="s">
        <v>7</v>
      </c>
      <c r="E112" t="s">
        <v>8</v>
      </c>
      <c r="F112">
        <f>LEN(Table1[[#This Row],[T1]])</f>
        <v>3</v>
      </c>
      <c r="G112" t="str">
        <f>TRIM(Table1[[#This Row],[T1]])</f>
        <v>상기</v>
      </c>
      <c r="H112">
        <f>LEN(Table1[[#This Row],[열2]])</f>
        <v>2</v>
      </c>
    </row>
    <row r="113" spans="1:8" x14ac:dyDescent="0.45">
      <c r="A113" t="s">
        <v>166</v>
      </c>
      <c r="B113" t="s">
        <v>167</v>
      </c>
      <c r="C113" t="s">
        <v>7</v>
      </c>
      <c r="D113" t="s">
        <v>7</v>
      </c>
      <c r="E113" t="s">
        <v>8</v>
      </c>
      <c r="F113">
        <f>LEN(Table1[[#This Row],[T1]])</f>
        <v>3</v>
      </c>
      <c r="G113" t="str">
        <f>TRIM(Table1[[#This Row],[T1]])</f>
        <v>또는</v>
      </c>
      <c r="H113">
        <f>LEN(Table1[[#This Row],[열2]])</f>
        <v>2</v>
      </c>
    </row>
    <row r="114" spans="1:8" x14ac:dyDescent="0.45">
      <c r="A114" t="s">
        <v>169</v>
      </c>
      <c r="B114" t="s">
        <v>170</v>
      </c>
      <c r="C114" t="s">
        <v>7</v>
      </c>
      <c r="D114" t="s">
        <v>7</v>
      </c>
      <c r="E114" t="s">
        <v>8</v>
      </c>
      <c r="F114">
        <f>LEN(Table1[[#This Row],[T1]])</f>
        <v>3</v>
      </c>
      <c r="G114" t="str">
        <f>TRIM(Table1[[#This Row],[T1]])</f>
        <v>대략</v>
      </c>
      <c r="H114">
        <f>LEN(Table1[[#This Row],[열2]])</f>
        <v>2</v>
      </c>
    </row>
    <row r="115" spans="1:8" ht="14.65" x14ac:dyDescent="0.45">
      <c r="A115" s="1" t="s">
        <v>210</v>
      </c>
      <c r="B115" t="s">
        <v>178</v>
      </c>
      <c r="C115" t="s">
        <v>7</v>
      </c>
      <c r="D115" t="s">
        <v>7</v>
      </c>
      <c r="E115" t="s">
        <v>8</v>
      </c>
      <c r="F115">
        <f>LEN(Table1[[#This Row],[T1]])</f>
        <v>2</v>
      </c>
      <c r="G115" t="str">
        <f>TRIM(Table1[[#This Row],[T1]])</f>
        <v>단면</v>
      </c>
      <c r="H115">
        <f>LEN(Table1[[#This Row],[열2]])</f>
        <v>2</v>
      </c>
    </row>
    <row r="116" spans="1:8" x14ac:dyDescent="0.45">
      <c r="A116" t="s">
        <v>97</v>
      </c>
      <c r="B116" t="s">
        <v>98</v>
      </c>
      <c r="C116" t="s">
        <v>7</v>
      </c>
      <c r="D116" t="s">
        <v>7</v>
      </c>
      <c r="E116" t="s">
        <v>8</v>
      </c>
      <c r="F116">
        <f>LEN(Table1[[#This Row],[T1]])</f>
        <v>4</v>
      </c>
      <c r="G116" t="str">
        <f>TRIM(Table1[[#This Row],[T1]])</f>
        <v>내지</v>
      </c>
      <c r="H116">
        <f>LEN(Table1[[#This Row],[열2]])</f>
        <v>2</v>
      </c>
    </row>
    <row r="117" spans="1:8" x14ac:dyDescent="0.45">
      <c r="A117" t="s">
        <v>12</v>
      </c>
      <c r="B117" t="s">
        <v>13</v>
      </c>
      <c r="C117" t="s">
        <v>7</v>
      </c>
      <c r="D117" t="s">
        <v>7</v>
      </c>
      <c r="E117" t="s">
        <v>8</v>
      </c>
      <c r="F117">
        <f>LEN(Table1[[#This Row],[T1]])</f>
        <v>2</v>
      </c>
      <c r="G117" t="str">
        <f>TRIM(Table1[[#This Row],[T1]])</f>
        <v>,,</v>
      </c>
      <c r="H117">
        <f>LEN(Table1[[#This Row],[열2]])</f>
        <v>2</v>
      </c>
    </row>
    <row r="118" spans="1:8" x14ac:dyDescent="0.45">
      <c r="A118" t="s">
        <v>179</v>
      </c>
      <c r="B118" t="s">
        <v>112</v>
      </c>
      <c r="C118" t="s">
        <v>7</v>
      </c>
      <c r="D118" t="s">
        <v>7</v>
      </c>
      <c r="E118" t="s">
        <v>8</v>
      </c>
      <c r="F118">
        <f>LEN(Table1[[#This Row],[T1]])</f>
        <v>2</v>
      </c>
      <c r="G118" t="str">
        <f>TRIM(Table1[[#This Row],[T1]])</f>
        <v>및</v>
      </c>
      <c r="H118">
        <f>LEN(Table1[[#This Row],[열2]])</f>
        <v>1</v>
      </c>
    </row>
    <row r="119" spans="1:8" x14ac:dyDescent="0.45">
      <c r="A119" t="s">
        <v>186</v>
      </c>
      <c r="B119" t="s">
        <v>187</v>
      </c>
      <c r="C119" t="s">
        <v>7</v>
      </c>
      <c r="D119" t="s">
        <v>7</v>
      </c>
      <c r="E119" t="s">
        <v>8</v>
      </c>
      <c r="F119">
        <f>LEN(Table1[[#This Row],[T1]])</f>
        <v>1</v>
      </c>
      <c r="G119" t="str">
        <f>TRIM(Table1[[#This Row],[T1]])</f>
        <v>Ⅲ</v>
      </c>
      <c r="H119">
        <f>LEN(Table1[[#This Row],[열2]])</f>
        <v>1</v>
      </c>
    </row>
    <row r="120" spans="1:8" x14ac:dyDescent="0.45">
      <c r="A120" t="s">
        <v>182</v>
      </c>
      <c r="B120" t="s">
        <v>183</v>
      </c>
      <c r="C120" t="s">
        <v>7</v>
      </c>
      <c r="D120" t="s">
        <v>7</v>
      </c>
      <c r="E120" t="s">
        <v>8</v>
      </c>
      <c r="F120">
        <f>LEN(Table1[[#This Row],[T1]])</f>
        <v>1</v>
      </c>
      <c r="G120" t="str">
        <f>TRIM(Table1[[#This Row],[T1]])</f>
        <v>Ⅱ</v>
      </c>
      <c r="H120">
        <f>LEN(Table1[[#This Row],[열2]])</f>
        <v>1</v>
      </c>
    </row>
    <row r="121" spans="1:8" x14ac:dyDescent="0.45">
      <c r="A121" t="s">
        <v>184</v>
      </c>
      <c r="B121" t="s">
        <v>185</v>
      </c>
      <c r="C121" t="s">
        <v>7</v>
      </c>
      <c r="D121" t="s">
        <v>7</v>
      </c>
      <c r="E121" t="s">
        <v>8</v>
      </c>
      <c r="F121">
        <f>LEN(Table1[[#This Row],[T1]])</f>
        <v>1</v>
      </c>
      <c r="G121" t="str">
        <f>TRIM(Table1[[#This Row],[T1]])</f>
        <v>Ⅰ</v>
      </c>
      <c r="H121">
        <f>LEN(Table1[[#This Row],[열2]])</f>
        <v>1</v>
      </c>
    </row>
    <row r="122" spans="1:8" x14ac:dyDescent="0.45">
      <c r="A122" t="s">
        <v>14</v>
      </c>
      <c r="B122" t="s">
        <v>13</v>
      </c>
      <c r="C122" t="s">
        <v>7</v>
      </c>
      <c r="D122" t="s">
        <v>7</v>
      </c>
      <c r="E122" t="s">
        <v>8</v>
      </c>
      <c r="F122">
        <f>LEN(Table1[[#This Row],[T1]])</f>
        <v>2</v>
      </c>
      <c r="G122" t="str">
        <f>TRIM(Table1[[#This Row],[T1]])</f>
        <v>,</v>
      </c>
      <c r="H122">
        <f>LEN(Table1[[#This Row],[열2]])</f>
        <v>1</v>
      </c>
    </row>
  </sheetData>
  <phoneticPr fontId="1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2017-12-06T12:09:36Z</dcterms:created>
  <dcterms:modified xsi:type="dcterms:W3CDTF">2020-03-27T08:11:56Z</dcterms:modified>
</cp:coreProperties>
</file>